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626b07dc2099ace2/Desktop/Finance Projects/BASF/"/>
    </mc:Choice>
  </mc:AlternateContent>
  <xr:revisionPtr revIDLastSave="10" documentId="11_C4F9B58BACA6A66917B09499FFCF15208183F7D9" xr6:coauthVersionLast="47" xr6:coauthVersionMax="47" xr10:uidLastSave="{CE7366AB-36F1-4298-8AED-69B2C7451D16}"/>
  <bookViews>
    <workbookView xWindow="-108" yWindow="-108" windowWidth="23256" windowHeight="12456" activeTab="3" xr2:uid="{00000000-000D-0000-FFFF-FFFF00000000}"/>
  </bookViews>
  <sheets>
    <sheet name="Income Statement" sheetId="1" r:id="rId1"/>
    <sheet name="Balance Sheet" sheetId="2" r:id="rId2"/>
    <sheet name="Cash Flow" sheetId="3" r:id="rId3"/>
    <sheet name="Financial Performance and Risk" sheetId="4" r:id="rId4"/>
  </sheets>
  <definedNames>
    <definedName name="_xlnm._FilterDatabase" localSheetId="3" hidden="1">'Financial Performance and Risk'!$A$15:$F$15</definedName>
  </definedNames>
  <calcPr calcId="191029" iterateDelta="1E-4"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E3" i="3"/>
  <c r="D3" i="3"/>
  <c r="C3" i="3"/>
  <c r="B3" i="3"/>
  <c r="F57" i="2"/>
  <c r="E57" i="2"/>
  <c r="D57" i="2"/>
  <c r="C57" i="2"/>
  <c r="B57" i="2"/>
  <c r="F44" i="2"/>
  <c r="E44" i="2"/>
  <c r="E67" i="4" s="1"/>
  <c r="D44" i="2"/>
  <c r="D67" i="4" s="1"/>
  <c r="C44" i="2"/>
  <c r="C67" i="4" s="1"/>
  <c r="B44" i="2"/>
  <c r="B11" i="4" s="1"/>
  <c r="F24" i="2"/>
  <c r="E24" i="2"/>
  <c r="D24" i="2"/>
  <c r="C24" i="2"/>
  <c r="F70" i="4"/>
  <c r="E70" i="4"/>
  <c r="D70" i="4"/>
  <c r="C70" i="4"/>
  <c r="B70" i="4"/>
  <c r="F69" i="4"/>
  <c r="E69" i="4"/>
  <c r="D69" i="4"/>
  <c r="C69" i="4"/>
  <c r="B69" i="4"/>
  <c r="F68" i="4"/>
  <c r="E68" i="4"/>
  <c r="D68" i="4"/>
  <c r="C68" i="4"/>
  <c r="B68" i="4"/>
  <c r="F67" i="4"/>
  <c r="F61" i="4"/>
  <c r="E61" i="4"/>
  <c r="D61" i="4"/>
  <c r="C61" i="4"/>
  <c r="B61" i="4"/>
  <c r="F59" i="4"/>
  <c r="E59" i="4"/>
  <c r="D59" i="4"/>
  <c r="C59" i="4"/>
  <c r="B59" i="4"/>
  <c r="F58" i="4"/>
  <c r="E58" i="4"/>
  <c r="D58" i="4"/>
  <c r="C58" i="4"/>
  <c r="B58" i="4"/>
  <c r="F57" i="4"/>
  <c r="E57" i="4"/>
  <c r="D57" i="4"/>
  <c r="C57" i="4"/>
  <c r="B57" i="4"/>
  <c r="F55" i="4"/>
  <c r="F60" i="4" s="1"/>
  <c r="E55" i="4"/>
  <c r="D55" i="4"/>
  <c r="C55" i="4"/>
  <c r="F49" i="4"/>
  <c r="E49" i="4"/>
  <c r="D49" i="4"/>
  <c r="C49" i="4"/>
  <c r="B49" i="4"/>
  <c r="F48" i="4"/>
  <c r="E48" i="4"/>
  <c r="D48" i="4"/>
  <c r="C48" i="4"/>
  <c r="B48" i="4"/>
  <c r="F47" i="4"/>
  <c r="E47" i="4"/>
  <c r="D47" i="4"/>
  <c r="C47" i="4"/>
  <c r="B47" i="4"/>
  <c r="F31" i="4"/>
  <c r="E31" i="4"/>
  <c r="D31" i="4"/>
  <c r="C31" i="4"/>
  <c r="B31" i="4"/>
  <c r="F30" i="4"/>
  <c r="E30" i="4"/>
  <c r="D30" i="4"/>
  <c r="C30" i="4"/>
  <c r="B30" i="4"/>
  <c r="F29" i="4"/>
  <c r="E29" i="4"/>
  <c r="D29" i="4"/>
  <c r="C29" i="4"/>
  <c r="B29" i="4"/>
  <c r="F24" i="4"/>
  <c r="E24" i="4"/>
  <c r="D24" i="4"/>
  <c r="C24" i="4"/>
  <c r="B24" i="4"/>
  <c r="F23" i="4"/>
  <c r="E23" i="4"/>
  <c r="D23" i="4"/>
  <c r="C23" i="4"/>
  <c r="B23" i="4"/>
  <c r="F22" i="4"/>
  <c r="E22" i="4"/>
  <c r="D22" i="4"/>
  <c r="C22" i="4"/>
  <c r="B22" i="4"/>
  <c r="F16" i="4"/>
  <c r="E16" i="4"/>
  <c r="D16" i="4"/>
  <c r="C16" i="4"/>
  <c r="B16" i="4"/>
  <c r="F12" i="4"/>
  <c r="E12" i="4"/>
  <c r="D12" i="4"/>
  <c r="C12" i="4"/>
  <c r="B12" i="4"/>
  <c r="F11" i="4"/>
  <c r="F10" i="4"/>
  <c r="F43" i="4" s="1"/>
  <c r="E10" i="4"/>
  <c r="E43" i="4" s="1"/>
  <c r="D10" i="4"/>
  <c r="D43" i="4" s="1"/>
  <c r="C10" i="4"/>
  <c r="C43" i="4" s="1"/>
  <c r="F9" i="4"/>
  <c r="F42" i="4" s="1"/>
  <c r="E9" i="4"/>
  <c r="E42" i="4" s="1"/>
  <c r="D9" i="4"/>
  <c r="D42" i="4" s="1"/>
  <c r="C9" i="4"/>
  <c r="C42" i="4" s="1"/>
  <c r="F8" i="4"/>
  <c r="F41" i="4" s="1"/>
  <c r="E8" i="4"/>
  <c r="E38" i="4" s="1"/>
  <c r="D8" i="4"/>
  <c r="D41" i="4" s="1"/>
  <c r="C8" i="4"/>
  <c r="C41" i="4" s="1"/>
  <c r="F7" i="4"/>
  <c r="F33" i="4" s="1"/>
  <c r="E7" i="4"/>
  <c r="E33" i="4" s="1"/>
  <c r="D7" i="4"/>
  <c r="D33" i="4" s="1"/>
  <c r="C7" i="4"/>
  <c r="C33" i="4" s="1"/>
  <c r="F6" i="4"/>
  <c r="E6" i="4"/>
  <c r="D6" i="4"/>
  <c r="C6" i="4"/>
  <c r="B6" i="4"/>
  <c r="F5" i="4"/>
  <c r="F32" i="4" s="1"/>
  <c r="E5" i="4"/>
  <c r="E32" i="4" s="1"/>
  <c r="D5" i="4"/>
  <c r="D39" i="4" s="1"/>
  <c r="C5" i="4"/>
  <c r="C39" i="4" s="1"/>
  <c r="F4" i="4"/>
  <c r="E4" i="4"/>
  <c r="D4" i="4"/>
  <c r="C4" i="4"/>
  <c r="B4" i="4"/>
  <c r="F71" i="4" l="1"/>
  <c r="D17" i="4"/>
  <c r="E50" i="4"/>
  <c r="E56" i="4" s="1"/>
  <c r="D38" i="4"/>
  <c r="F38" i="4"/>
  <c r="D50" i="4"/>
  <c r="D56" i="4" s="1"/>
  <c r="F39" i="4"/>
  <c r="B50" i="4"/>
  <c r="B56" i="4" s="1"/>
  <c r="C50" i="4"/>
  <c r="C56" i="4" s="1"/>
  <c r="F50" i="4"/>
  <c r="F56" i="4" s="1"/>
  <c r="E17" i="4"/>
  <c r="F17" i="4"/>
  <c r="D11" i="4"/>
  <c r="D71" i="4" s="1"/>
  <c r="D60" i="4"/>
  <c r="D62" i="4" s="1"/>
  <c r="B71" i="4"/>
  <c r="E11" i="4"/>
  <c r="E71" i="4" s="1"/>
  <c r="C17" i="4"/>
  <c r="C60" i="4"/>
  <c r="C62" i="4" s="1"/>
  <c r="B67" i="4"/>
  <c r="C32" i="4"/>
  <c r="E60" i="4"/>
  <c r="E62" i="4" s="1"/>
  <c r="C11" i="4"/>
  <c r="C71" i="4" s="1"/>
  <c r="F62" i="4"/>
  <c r="C38" i="4"/>
  <c r="D32" i="4"/>
  <c r="D40" i="4"/>
  <c r="E39" i="4"/>
  <c r="E41" i="4"/>
  <c r="C40" i="4"/>
  <c r="E40" i="4"/>
  <c r="F40" i="4"/>
</calcChain>
</file>

<file path=xl/sharedStrings.xml><?xml version="1.0" encoding="utf-8"?>
<sst xmlns="http://schemas.openxmlformats.org/spreadsheetml/2006/main" count="265" uniqueCount="178">
  <si>
    <t>BASF Financial Performance &amp; Risk Analysis (FY2021–FY2025)</t>
  </si>
  <si>
    <t>Key Financial Analysis Inputs</t>
  </si>
  <si>
    <t>FY2021</t>
  </si>
  <si>
    <t>FY2022</t>
  </si>
  <si>
    <t>FY2023</t>
  </si>
  <si>
    <t>FY2024</t>
  </si>
  <si>
    <t>FY2025</t>
  </si>
  <si>
    <t>Total Assets</t>
  </si>
  <si>
    <t>Average Total Assets</t>
  </si>
  <si>
    <t>Shareholders' Equity</t>
  </si>
  <si>
    <t>Average Shareholder Equity</t>
  </si>
  <si>
    <t>Average Accounts Receivable</t>
  </si>
  <si>
    <t>Average Inventory</t>
  </si>
  <si>
    <t>Average Accounts Payable</t>
  </si>
  <si>
    <t>Total Debt</t>
  </si>
  <si>
    <t>EBITDA</t>
  </si>
  <si>
    <t>Working Capital Analysis</t>
  </si>
  <si>
    <t>Metric</t>
  </si>
  <si>
    <t>Working Capital</t>
  </si>
  <si>
    <t>Changes in Working Capital</t>
  </si>
  <si>
    <t>The analysis shows that BASF maintained positive working capital throughout FY2021–FY2025, indicating that current assets remained above current liabilities. Working capital increased to €16.982 billion in FY2022 before declining to €14.193 billion in FY2024, then recovering to €15.273 billion in FY2025. Overall, the FY2025 improvement is positive, but management should continue focusing on efficient working-capital management and avoiding excessive cash being tied up in operations.</t>
  </si>
  <si>
    <t>Liquidity Analysis</t>
  </si>
  <si>
    <t>Current Ratio</t>
  </si>
  <si>
    <t>Quick Ratio</t>
  </si>
  <si>
    <t>Cash Ratio</t>
  </si>
  <si>
    <t>The liquidity analysis shows that BASF maintained a solid short-term liquidity position throughout FY2021–FY2025. The Current Ratio remained above 1.7x and reached 1.93x in FY2025, while the Quick Ratio improved to 1.19x, indicating stronger coverage of current liabilities without relying on inventory. The Cash Ratio remained relatively low at around 0.12–0.17x, suggesting that BASF continues to rely on other current assets and operating cash flows to meet short-term obligations. Overall, liquidity appears adequate and improved in FY2025.</t>
  </si>
  <si>
    <t>Profitability Analysis</t>
  </si>
  <si>
    <t>Gross Profit Margin</t>
  </si>
  <si>
    <t>Operating Profit Margin</t>
  </si>
  <si>
    <t>Net Profit Margin</t>
  </si>
  <si>
    <t>ROA</t>
  </si>
  <si>
    <t>ROE</t>
  </si>
  <si>
    <t>Profitability analysis shows a significant decline in operating profitability after FY2021, with operating profit margin falling from 9.50% to about 4.15% in FY2025. Gross profit margin remained relatively stable at around 24%. Net profit margin recovered from the FY2022 loss to 2.71% in FY2025, while ROA and ROE improved.</t>
  </si>
  <si>
    <t>Efficiency / Activity Analysis</t>
  </si>
  <si>
    <t>Accounts Receivable Turnover</t>
  </si>
  <si>
    <t>Total Asset Turnover</t>
  </si>
  <si>
    <t>Inventory Turnover</t>
  </si>
  <si>
    <t>Days Sales Outstanding (DSO)</t>
  </si>
  <si>
    <t>Days Inventory Outstanding (DIO)</t>
  </si>
  <si>
    <t>Days Payable Outstanding (DPO)</t>
  </si>
  <si>
    <t>The efficiency analysis shows that BASF’s operational efficiency weakened compared with FY2022. Accounts receivable turnover improved slightly in FY2025 and DSO declined to 89.1 days, while inventory turnover also improved slightly and DIO fell to 158.5 days. However, Total Asset Turnover continued to decline from 1.02x to 0.76x, indicating weaker asset utilization. Overall, FY2025 shows some improvement in working-capital efficiency, but asset utilization and cash conversion remain areas for improvement.</t>
  </si>
  <si>
    <t>Cash Flow Analysis</t>
  </si>
  <si>
    <t>Operating Cash Flow</t>
  </si>
  <si>
    <t>Investing Cash Flow</t>
  </si>
  <si>
    <t>Financing Cash Flow</t>
  </si>
  <si>
    <t>Net Change in Cash</t>
  </si>
  <si>
    <t>The cash flow analysis shows that BASF continued to generate positive operating cash flow, but it declined significantly from €8.111 billion in FY2023 to €5.610 billion in FY2025. Investing and financing cash flows remained negative throughout the period, while the net change in cash was broadly stable, reaching -€14 million in FY2025. Overall, the decline in operating cash flow is a key concern, as weaker cash generation reduces financial flexibility despite the relatively stable overall cash position.</t>
  </si>
  <si>
    <t>Cash Reconciliation</t>
  </si>
  <si>
    <t>Beginning Cash</t>
  </si>
  <si>
    <t>Net Change from OCF + ICF + FCF</t>
  </si>
  <si>
    <t>FX &amp; Scope-of-Consolidation Effects</t>
  </si>
  <si>
    <t>Miscellaneous Cash Flow Adjustments (Source Classification)</t>
  </si>
  <si>
    <t>Net Cash Flow</t>
  </si>
  <si>
    <t>Calculated Ending Cash</t>
  </si>
  <si>
    <t>Balance Sheet Cash</t>
  </si>
  <si>
    <t>Difference: Calculated vs. Balance Sheet Cash</t>
  </si>
  <si>
    <t>The cash reconciliation shows that BASF’s calculated ending cash generally aligns closely with balance sheet cash from FY2022 to FY2024, with differences of €0–€7 million. However, the difference increased to €141 million in FY2025, indicating a larger reconciliation gap that requires investigation. Overall, the reconciliation is broadly consistent, but the FY2025 difference should be reviewed to identify the underlying cash-flow classification or adjustment.</t>
  </si>
  <si>
    <t>Leverage / Solvency Analysis</t>
  </si>
  <si>
    <t>Debt-to-Equity Ratio</t>
  </si>
  <si>
    <t>Debt Ratio</t>
  </si>
  <si>
    <t>Equity Ratio</t>
  </si>
  <si>
    <t>Interest Coverage Ratio</t>
  </si>
  <si>
    <t>Debt-to-EBITDA Ratio</t>
  </si>
  <si>
    <t>Leverage analysis shows a higher debt burden relative to equity and earnings over the period. Debt-to-equity increased as total debt rose relative to shareholders' equity, while Debt-to-EBITDA also increased materially. Interest coverage remains positive when interest expense is treated as an expense (absolute value), but it is substantially lower than in FY2021.</t>
  </si>
  <si>
    <t>Overall Financial Health Assessment</t>
  </si>
  <si>
    <t>Overall, BASF's financial position shows adequate liquidity and recovering profitability, while operating efficiency, cash generation and leverage remain areas to monitor. FY2025 shows improvement in working-capital efficiency and profitability, but operating cash flow remains below FY2023 levels and debt relative to EBITDA remains elevated.</t>
  </si>
  <si>
    <t>BASF — Income Statement (FY2021–FY2025)</t>
  </si>
  <si>
    <t>Revenue</t>
  </si>
  <si>
    <t>Revenue Growth</t>
  </si>
  <si>
    <t>Cost of Revenue</t>
  </si>
  <si>
    <t>Gross Profit</t>
  </si>
  <si>
    <t>Selling, General &amp; Admin</t>
  </si>
  <si>
    <t>Research &amp; Development</t>
  </si>
  <si>
    <t>Other Operating Expenses</t>
  </si>
  <si>
    <t>Operating Expenses</t>
  </si>
  <si>
    <t>Operating Income</t>
  </si>
  <si>
    <t>Interest Expense</t>
  </si>
  <si>
    <t>Interest &amp; Investment Income</t>
  </si>
  <si>
    <t>Earnings From Equity Investments</t>
  </si>
  <si>
    <t>Currency Exchange Gain (Loss)</t>
  </si>
  <si>
    <t>Other Non Operating Income (Expenses)</t>
  </si>
  <si>
    <t>EBT Excluding Unusual Items</t>
  </si>
  <si>
    <t>Merger &amp; Restructuring Charges</t>
  </si>
  <si>
    <t>Gain (Loss) on Sale of Investments</t>
  </si>
  <si>
    <t>Gain (Loss) on Sale of Assets</t>
  </si>
  <si>
    <t>Asset Writedown</t>
  </si>
  <si>
    <t>Pretax Income</t>
  </si>
  <si>
    <t>Income Tax Expense</t>
  </si>
  <si>
    <t>Earnings From Continuing Operations</t>
  </si>
  <si>
    <t>Earnings From Discontinued Operations</t>
  </si>
  <si>
    <t>Net Income to Company</t>
  </si>
  <si>
    <t>Minority Interest in Earnings</t>
  </si>
  <si>
    <t>Net Income</t>
  </si>
  <si>
    <t>Net Income to Common</t>
  </si>
  <si>
    <t>Net Income Growth</t>
  </si>
  <si>
    <t>Shares Outstanding (Basic)</t>
  </si>
  <si>
    <t>Shares Outstanding (Diluted)</t>
  </si>
  <si>
    <t>Shares Change</t>
  </si>
  <si>
    <t>EPS (Basic)</t>
  </si>
  <si>
    <t>EPS (Diluted)</t>
  </si>
  <si>
    <t>EPS Growth</t>
  </si>
  <si>
    <t>BASF — Balance Sheet (FY2021–FY2025)</t>
  </si>
  <si>
    <t>Fiscal Year</t>
  </si>
  <si>
    <t>FY 2021</t>
  </si>
  <si>
    <t>FY 2022</t>
  </si>
  <si>
    <t>FY 2023</t>
  </si>
  <si>
    <t>FY 2024</t>
  </si>
  <si>
    <t>FY 2025</t>
  </si>
  <si>
    <t>Cash &amp; Equivalents</t>
  </si>
  <si>
    <t>Short-Term Investments</t>
  </si>
  <si>
    <t>Trading Asset Securities</t>
  </si>
  <si>
    <t>Cash &amp; Short-Term Investments</t>
  </si>
  <si>
    <t>Cash Growth</t>
  </si>
  <si>
    <t>Accounts Receivable</t>
  </si>
  <si>
    <t>Other Receivables</t>
  </si>
  <si>
    <t>Receivables</t>
  </si>
  <si>
    <t>Inventory</t>
  </si>
  <si>
    <t>Prepaid Expenses</t>
  </si>
  <si>
    <t>Other Current Assets</t>
  </si>
  <si>
    <t>Total Current Assets</t>
  </si>
  <si>
    <t>Property, Plant &amp; Equipment</t>
  </si>
  <si>
    <t>Long-Term Investments</t>
  </si>
  <si>
    <t>Goodwill</t>
  </si>
  <si>
    <t>Other Intangible Assets</t>
  </si>
  <si>
    <t>Long-Term Accounts Receivable</t>
  </si>
  <si>
    <t>Long-Term Deferred Tax Assets</t>
  </si>
  <si>
    <t>Other Long-Term Assets</t>
  </si>
  <si>
    <t>Liabilities</t>
  </si>
  <si>
    <t>Accounts Payable</t>
  </si>
  <si>
    <t>Accrued Expenses</t>
  </si>
  <si>
    <t>Short-Term Debt</t>
  </si>
  <si>
    <t>Current Portion of Long-Term Debt</t>
  </si>
  <si>
    <t>Current Portion of Leases</t>
  </si>
  <si>
    <t>Current Income Taxes Payable</t>
  </si>
  <si>
    <t>Current Unearned Revenue</t>
  </si>
  <si>
    <t>Other Current Liabilities</t>
  </si>
  <si>
    <t>Total Current Liabilities</t>
  </si>
  <si>
    <t>Long-Term Debt</t>
  </si>
  <si>
    <t>Long-Term Leases</t>
  </si>
  <si>
    <t>Long-Term Unearned Revenue</t>
  </si>
  <si>
    <t>Pension &amp; Post-Retirement Benefits</t>
  </si>
  <si>
    <t>Long-Term Deferred Tax Liabilities</t>
  </si>
  <si>
    <t>Other Long-Term Liabilities</t>
  </si>
  <si>
    <t>Total Liabilities</t>
  </si>
  <si>
    <t>Common Stock</t>
  </si>
  <si>
    <t>Retained Earnings</t>
  </si>
  <si>
    <t>Comprehensive Income &amp; Other</t>
  </si>
  <si>
    <t>Total Common Equity</t>
  </si>
  <si>
    <t>Minority Interest</t>
  </si>
  <si>
    <t>Total Liabilities &amp; Equity</t>
  </si>
  <si>
    <t>Balance Check</t>
  </si>
  <si>
    <t>BASF — Cash Flow Analysis (FY2021–FY2025)</t>
  </si>
  <si>
    <t>Depreciation &amp; Amortization</t>
  </si>
  <si>
    <t>Other Amortization</t>
  </si>
  <si>
    <t>Loss (Gain) From Sale of Assets</t>
  </si>
  <si>
    <t>Asset Writedown &amp; Restructuring Costs</t>
  </si>
  <si>
    <t>Loss (Gain) on Equity Investments</t>
  </si>
  <si>
    <t>Other Operating Activities</t>
  </si>
  <si>
    <t>Change in Accounts Receivable</t>
  </si>
  <si>
    <t>Change in Inventory</t>
  </si>
  <si>
    <t>Change in Accounts Payable</t>
  </si>
  <si>
    <t>Change in Other Net Operating Assets</t>
  </si>
  <si>
    <t>Operating Cash Flow Growth</t>
  </si>
  <si>
    <t>Investing Activities</t>
  </si>
  <si>
    <t>Capital Expenditures</t>
  </si>
  <si>
    <t>Cash Acquisitions</t>
  </si>
  <si>
    <t>Divestitures</t>
  </si>
  <si>
    <t>Investment in Securities</t>
  </si>
  <si>
    <t>Other Investing Activities</t>
  </si>
  <si>
    <t>Financing Activities</t>
  </si>
  <si>
    <t>Long-Term Debt Issued</t>
  </si>
  <si>
    <t>Long-Term Debt Repaid</t>
  </si>
  <si>
    <t>Net Debt Issued (Repaid)</t>
  </si>
  <si>
    <t>Repurchase of Common Stock</t>
  </si>
  <si>
    <t>Common Dividends Paid</t>
  </si>
  <si>
    <t>Other Financing Activities</t>
  </si>
  <si>
    <t>Foreign Exchange Rate Adjustments</t>
  </si>
  <si>
    <t>Miscellaneous Cash Flow Adjustments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</si>
</sst>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x"/>
    <numFmt numFmtId="166" formatCode="0.0"/>
  </numFmts>
  <fonts count="8" x14ac:knownFonts="1">
    <font>
      <sz val="11"/>
      <color theme="1"/>
      <name val="Aptos Narrow"/>
      <family val="2"/>
      <scheme val="minor"/>
    </font>
    <font>
      <sz val="14"/>
      <color rgb="FF111827"/>
      <name val="Arial"/>
      <family val="2"/>
      <charset val="1"/>
    </font>
    <font>
      <sz val="14"/>
      <color rgb="FF15803D"/>
      <name val="Arial"/>
      <family val="2"/>
      <charset val="1"/>
    </font>
    <font>
      <sz val="14"/>
      <color rgb="FFDC2626"/>
      <name val="Arial"/>
      <family val="2"/>
      <charset val="1"/>
    </font>
    <font>
      <b/>
      <sz val="14"/>
      <color rgb="FFFFFFFF"/>
      <name val="Aptos Narrow"/>
    </font>
    <font>
      <b/>
      <sz val="11"/>
      <color rgb="FFFFFFFF"/>
      <name val="Aptos Narrow"/>
    </font>
    <font>
      <b/>
      <sz val="12"/>
      <color rgb="FF1F1F1F"/>
      <name val="Aptos Narrow"/>
    </font>
    <font>
      <b/>
      <sz val="11"/>
      <name val="Aptos Narrow"/>
    </font>
  </fonts>
  <fills count="9">
    <fill>
      <patternFill patternType="none"/>
    </fill>
    <fill>
      <patternFill patternType="gray125"/>
    </fill>
    <fill>
      <patternFill patternType="solid">
        <fgColor rgb="FFF6F7F8"/>
        <bgColor rgb="FFFFFFFF"/>
      </patternFill>
    </fill>
    <fill>
      <patternFill patternType="solid">
        <fgColor rgb="FFFFFFFF"/>
        <bgColor rgb="FFF6F7F8"/>
      </patternFill>
    </fill>
    <fill>
      <patternFill patternType="solid">
        <fgColor rgb="FF1F4E78"/>
      </patternFill>
    </fill>
    <fill>
      <patternFill patternType="solid">
        <fgColor rgb="FF5B9BD5"/>
      </patternFill>
    </fill>
    <fill>
      <patternFill patternType="solid">
        <fgColor rgb="FFF3F6F9"/>
      </patternFill>
    </fill>
    <fill>
      <patternFill patternType="solid">
        <fgColor rgb="FFD9EAF7"/>
      </patternFill>
    </fill>
    <fill>
      <patternFill patternType="solid">
        <fgColor theme="0"/>
        <bgColor rgb="FFFFFF00"/>
      </patternFill>
    </fill>
  </fills>
  <borders count="4">
    <border>
      <left/>
      <right/>
      <top/>
      <bottom/>
      <diagonal/>
    </border>
    <border>
      <left/>
      <right/>
      <top/>
      <bottom style="medium">
        <color rgb="FFD1D5DB"/>
      </bottom>
      <diagonal/>
    </border>
    <border>
      <left/>
      <right style="medium">
        <color rgb="FFD1D5DB"/>
      </right>
      <top/>
      <bottom style="medium">
        <color rgb="FFD1D5DB"/>
      </bottom>
      <diagonal/>
    </border>
    <border>
      <left/>
      <right/>
      <top/>
      <bottom style="thin">
        <color rgb="FFD9E1F2"/>
      </bottom>
      <diagonal/>
    </border>
  </borders>
  <cellStyleXfs count="1">
    <xf numFmtId="0" fontId="0" fillId="0" borderId="0"/>
  </cellStyleXfs>
  <cellXfs count="45">
    <xf numFmtId="0" fontId="0" fillId="0" borderId="0" xfId="0"/>
    <xf numFmtId="0" fontId="0" fillId="0" borderId="0" xfId="0" applyAlignment="1">
      <alignment vertical="center" wrapText="1"/>
    </xf>
    <xf numFmtId="0" fontId="5" fillId="5" borderId="3" xfId="0" applyFont="1" applyFill="1" applyBorder="1" applyAlignment="1">
      <alignment vertical="center" wrapText="1"/>
    </xf>
    <xf numFmtId="3" fontId="5" fillId="5" borderId="3" xfId="0" applyNumberFormat="1" applyFont="1" applyFill="1" applyBorder="1" applyAlignment="1">
      <alignment horizontal="center"/>
    </xf>
    <xf numFmtId="0" fontId="1" fillId="6" borderId="3" xfId="0" applyFont="1" applyFill="1" applyBorder="1" applyAlignment="1">
      <alignment vertical="center" wrapText="1"/>
    </xf>
    <xf numFmtId="40" fontId="2" fillId="6" borderId="3" xfId="0" applyNumberFormat="1" applyFont="1" applyFill="1" applyBorder="1" applyAlignment="1">
      <alignment vertical="center"/>
    </xf>
    <xf numFmtId="40" fontId="3" fillId="6" borderId="3" xfId="0" applyNumberFormat="1" applyFont="1" applyFill="1" applyBorder="1" applyAlignment="1">
      <alignment vertical="center"/>
    </xf>
    <xf numFmtId="0" fontId="1" fillId="2" borderId="3" xfId="0" applyFont="1" applyFill="1" applyBorder="1" applyAlignment="1">
      <alignment vertical="center" wrapText="1"/>
    </xf>
    <xf numFmtId="40" fontId="1" fillId="3" borderId="3" xfId="0" applyNumberFormat="1" applyFont="1" applyFill="1" applyBorder="1" applyAlignment="1">
      <alignment vertical="center"/>
    </xf>
    <xf numFmtId="40" fontId="1" fillId="6" borderId="3" xfId="0" applyNumberFormat="1" applyFont="1" applyFill="1" applyBorder="1" applyAlignment="1">
      <alignment vertical="center"/>
    </xf>
    <xf numFmtId="0" fontId="5" fillId="5" borderId="3" xfId="0" applyFont="1" applyFill="1" applyBorder="1" applyAlignment="1">
      <alignment horizontal="center"/>
    </xf>
    <xf numFmtId="40" fontId="3" fillId="3" borderId="3" xfId="0" applyNumberFormat="1" applyFont="1" applyFill="1" applyBorder="1" applyAlignment="1">
      <alignment vertical="center"/>
    </xf>
    <xf numFmtId="40" fontId="2" fillId="3" borderId="3" xfId="0" applyNumberFormat="1" applyFont="1" applyFill="1" applyBorder="1" applyAlignment="1">
      <alignment vertical="center"/>
    </xf>
    <xf numFmtId="0" fontId="7" fillId="2" borderId="3" xfId="0" applyFont="1" applyFill="1" applyBorder="1" applyAlignment="1">
      <alignment vertical="center" wrapText="1"/>
    </xf>
    <xf numFmtId="40" fontId="7" fillId="3" borderId="3" xfId="0" applyNumberFormat="1" applyFont="1" applyFill="1" applyBorder="1" applyAlignment="1">
      <alignment vertical="center"/>
    </xf>
    <xf numFmtId="0" fontId="0" fillId="0" borderId="3" xfId="0" applyBorder="1" applyAlignment="1">
      <alignment vertical="center" wrapText="1"/>
    </xf>
    <xf numFmtId="0" fontId="0" fillId="0" borderId="3" xfId="0" applyBorder="1" applyAlignment="1">
      <alignment vertical="center"/>
    </xf>
    <xf numFmtId="3" fontId="1" fillId="3" borderId="3" xfId="0" applyNumberFormat="1" applyFont="1" applyFill="1" applyBorder="1" applyAlignment="1">
      <alignment vertical="center"/>
    </xf>
    <xf numFmtId="0" fontId="6" fillId="7" borderId="3" xfId="0" applyFont="1" applyFill="1" applyBorder="1" applyAlignment="1">
      <alignment vertical="center" wrapText="1"/>
    </xf>
    <xf numFmtId="0" fontId="6" fillId="7" borderId="3" xfId="0" applyFont="1" applyFill="1" applyBorder="1" applyAlignment="1">
      <alignment vertical="center"/>
    </xf>
    <xf numFmtId="40" fontId="5" fillId="5" borderId="3" xfId="0" applyNumberFormat="1" applyFont="1" applyFill="1" applyBorder="1" applyAlignment="1">
      <alignment horizontal="center"/>
    </xf>
    <xf numFmtId="40" fontId="7" fillId="0" borderId="3" xfId="0" applyNumberFormat="1" applyFont="1" applyBorder="1" applyAlignment="1">
      <alignment vertical="center"/>
    </xf>
    <xf numFmtId="0" fontId="0" fillId="0" borderId="0" xfId="0" applyAlignment="1">
      <alignment vertical="center"/>
    </xf>
    <xf numFmtId="164" fontId="2" fillId="3" borderId="3" xfId="0" applyNumberFormat="1" applyFont="1" applyFill="1" applyBorder="1" applyAlignment="1">
      <alignment vertical="center"/>
    </xf>
    <xf numFmtId="164" fontId="3" fillId="3" borderId="3" xfId="0" applyNumberFormat="1" applyFont="1" applyFill="1" applyBorder="1" applyAlignment="1">
      <alignment vertical="center"/>
    </xf>
    <xf numFmtId="0" fontId="6" fillId="7" borderId="0" xfId="0" applyFont="1" applyFill="1" applyAlignment="1">
      <alignment vertical="center" wrapText="1"/>
    </xf>
    <xf numFmtId="0" fontId="6" fillId="7" borderId="0" xfId="0" applyFont="1" applyFill="1" applyAlignment="1">
      <alignment vertical="center"/>
    </xf>
    <xf numFmtId="40" fontId="0" fillId="0" borderId="0" xfId="0" applyNumberFormat="1" applyAlignment="1">
      <alignment vertical="center"/>
    </xf>
    <xf numFmtId="40" fontId="0" fillId="0" borderId="3" xfId="0" applyNumberFormat="1" applyBorder="1" applyAlignment="1">
      <alignment vertical="center"/>
    </xf>
    <xf numFmtId="3" fontId="0" fillId="0" borderId="0" xfId="0" applyNumberFormat="1" applyAlignment="1">
      <alignment vertical="center" wrapText="1"/>
    </xf>
    <xf numFmtId="0" fontId="5" fillId="5" borderId="0" xfId="0" applyFont="1" applyFill="1" applyAlignment="1">
      <alignment horizontal="center"/>
    </xf>
    <xf numFmtId="0" fontId="7" fillId="0" borderId="3" xfId="0" applyFont="1" applyBorder="1" applyAlignment="1">
      <alignment vertical="center" wrapText="1"/>
    </xf>
    <xf numFmtId="3" fontId="0" fillId="0" borderId="0" xfId="0" applyNumberFormat="1" applyAlignment="1">
      <alignment vertical="center"/>
    </xf>
    <xf numFmtId="165" fontId="0" fillId="0" borderId="3" xfId="0" applyNumberFormat="1" applyBorder="1" applyAlignment="1">
      <alignment vertical="center"/>
    </xf>
    <xf numFmtId="10" fontId="0" fillId="0" borderId="3" xfId="0" applyNumberFormat="1" applyBorder="1" applyAlignment="1">
      <alignment vertical="center"/>
    </xf>
    <xf numFmtId="166" fontId="0" fillId="0" borderId="3" xfId="0" applyNumberFormat="1" applyBorder="1" applyAlignment="1">
      <alignment vertical="center"/>
    </xf>
    <xf numFmtId="0" fontId="0" fillId="6" borderId="0" xfId="0" applyFill="1" applyAlignment="1">
      <alignment vertical="top" wrapText="1"/>
    </xf>
    <xf numFmtId="0" fontId="0" fillId="0" borderId="0" xfId="0"/>
    <xf numFmtId="0" fontId="4" fillId="4" borderId="0" xfId="0" applyFont="1" applyFill="1" applyAlignment="1">
      <alignment horizontal="left"/>
    </xf>
    <xf numFmtId="0" fontId="4" fillId="4" borderId="2" xfId="0" applyFont="1" applyFill="1" applyBorder="1" applyAlignment="1">
      <alignment horizontal="left" vertical="center"/>
    </xf>
    <xf numFmtId="0" fontId="0" fillId="0" borderId="1" xfId="0" applyBorder="1"/>
    <xf numFmtId="0" fontId="0" fillId="0" borderId="2" xfId="0" applyBorder="1"/>
    <xf numFmtId="0" fontId="6" fillId="7" borderId="3" xfId="0" applyFont="1" applyFill="1" applyBorder="1" applyAlignment="1">
      <alignment horizontal="left"/>
    </xf>
    <xf numFmtId="0" fontId="6" fillId="7" borderId="3" xfId="0" applyFont="1" applyFill="1" applyBorder="1"/>
    <xf numFmtId="0" fontId="0" fillId="8"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5"/>
  <sheetViews>
    <sheetView showGridLines="0" topLeftCell="A22" workbookViewId="0">
      <selection activeCell="I12" sqref="I12"/>
    </sheetView>
  </sheetViews>
  <sheetFormatPr defaultRowHeight="14.4" x14ac:dyDescent="0.3"/>
  <cols>
    <col min="1" max="1" width="48" customWidth="1"/>
    <col min="2" max="6" width="15" customWidth="1"/>
  </cols>
  <sheetData>
    <row r="1" spans="1:6" ht="24" customHeight="1" thickBot="1" x14ac:dyDescent="0.35">
      <c r="A1" s="39" t="s">
        <v>66</v>
      </c>
      <c r="B1" s="40"/>
      <c r="C1" s="40"/>
      <c r="D1" s="40"/>
      <c r="E1" s="40"/>
      <c r="F1" s="41"/>
    </row>
    <row r="2" spans="1:6" ht="18" customHeight="1" thickBot="1" x14ac:dyDescent="0.35">
      <c r="A2" s="2" t="s">
        <v>67</v>
      </c>
      <c r="B2" s="3">
        <v>78598</v>
      </c>
      <c r="C2" s="3">
        <v>87327</v>
      </c>
      <c r="D2" s="3">
        <v>68902</v>
      </c>
      <c r="E2" s="3">
        <v>61444</v>
      </c>
      <c r="F2" s="3">
        <v>59657</v>
      </c>
    </row>
    <row r="3" spans="1:6" ht="18" customHeight="1" thickBot="1" x14ac:dyDescent="0.35">
      <c r="A3" s="4" t="s">
        <v>68</v>
      </c>
      <c r="B3" s="5">
        <v>0.32879999999999998</v>
      </c>
      <c r="C3" s="5">
        <v>0.1111</v>
      </c>
      <c r="D3" s="6">
        <v>-0.21099999999999999</v>
      </c>
      <c r="E3" s="6">
        <v>-0.1082</v>
      </c>
      <c r="F3" s="6">
        <v>-2.9100000000000001E-2</v>
      </c>
    </row>
    <row r="4" spans="1:6" ht="18" customHeight="1" thickBot="1" x14ac:dyDescent="0.35">
      <c r="A4" s="7" t="s">
        <v>69</v>
      </c>
      <c r="B4" s="8">
        <v>59091</v>
      </c>
      <c r="C4" s="8">
        <v>66697</v>
      </c>
      <c r="D4" s="8">
        <v>52506</v>
      </c>
      <c r="E4" s="8">
        <v>46534</v>
      </c>
      <c r="F4" s="8">
        <v>45527</v>
      </c>
    </row>
    <row r="5" spans="1:6" ht="18" customHeight="1" thickBot="1" x14ac:dyDescent="0.35">
      <c r="A5" s="7" t="s">
        <v>70</v>
      </c>
      <c r="B5" s="8">
        <v>19507</v>
      </c>
      <c r="C5" s="8">
        <v>20630</v>
      </c>
      <c r="D5" s="8">
        <v>16396</v>
      </c>
      <c r="E5" s="8">
        <v>14910</v>
      </c>
      <c r="F5" s="8">
        <v>14130</v>
      </c>
    </row>
    <row r="6" spans="1:6" ht="18" customHeight="1" thickBot="1" x14ac:dyDescent="0.35">
      <c r="A6" s="7" t="s">
        <v>71</v>
      </c>
      <c r="B6" s="8">
        <v>9902</v>
      </c>
      <c r="C6" s="8">
        <v>11201</v>
      </c>
      <c r="D6" s="8">
        <v>10379</v>
      </c>
      <c r="E6" s="8">
        <v>9025</v>
      </c>
      <c r="F6" s="8">
        <v>8883</v>
      </c>
    </row>
    <row r="7" spans="1:6" ht="18" customHeight="1" thickBot="1" x14ac:dyDescent="0.35">
      <c r="A7" s="7" t="s">
        <v>72</v>
      </c>
      <c r="B7" s="8">
        <v>2216</v>
      </c>
      <c r="C7" s="8">
        <v>2298</v>
      </c>
      <c r="D7" s="8">
        <v>2130</v>
      </c>
      <c r="E7" s="8">
        <v>1969</v>
      </c>
      <c r="F7" s="8">
        <v>1995</v>
      </c>
    </row>
    <row r="8" spans="1:6" ht="18" customHeight="1" thickBot="1" x14ac:dyDescent="0.35">
      <c r="A8" s="7" t="s">
        <v>73</v>
      </c>
      <c r="B8" s="8">
        <v>-115</v>
      </c>
      <c r="C8" s="8">
        <v>275</v>
      </c>
      <c r="D8" s="8">
        <v>1046</v>
      </c>
      <c r="E8" s="8">
        <v>1432</v>
      </c>
      <c r="F8" s="8">
        <v>779</v>
      </c>
    </row>
    <row r="9" spans="1:6" ht="18" customHeight="1" thickBot="1" x14ac:dyDescent="0.35">
      <c r="A9" s="7" t="s">
        <v>74</v>
      </c>
      <c r="B9" s="8">
        <v>12040</v>
      </c>
      <c r="C9" s="8">
        <v>13774</v>
      </c>
      <c r="D9" s="8">
        <v>13555</v>
      </c>
      <c r="E9" s="8">
        <v>12426</v>
      </c>
      <c r="F9" s="8">
        <v>11657</v>
      </c>
    </row>
    <row r="10" spans="1:6" ht="18" customHeight="1" thickBot="1" x14ac:dyDescent="0.35">
      <c r="A10" s="7" t="s">
        <v>75</v>
      </c>
      <c r="B10" s="8">
        <v>7467</v>
      </c>
      <c r="C10" s="8">
        <v>6856</v>
      </c>
      <c r="D10" s="8">
        <v>2841</v>
      </c>
      <c r="E10" s="8">
        <v>2484</v>
      </c>
      <c r="F10" s="8">
        <v>2473</v>
      </c>
    </row>
    <row r="11" spans="1:6" ht="18" customHeight="1" thickBot="1" x14ac:dyDescent="0.35">
      <c r="A11" s="7" t="s">
        <v>76</v>
      </c>
      <c r="B11" s="8">
        <v>-506</v>
      </c>
      <c r="C11" s="8">
        <v>-631</v>
      </c>
      <c r="D11" s="8">
        <v>-868</v>
      </c>
      <c r="E11" s="8">
        <v>-929</v>
      </c>
      <c r="F11" s="8">
        <v>-924</v>
      </c>
    </row>
    <row r="12" spans="1:6" ht="18" customHeight="1" thickBot="1" x14ac:dyDescent="0.35">
      <c r="A12" s="7" t="s">
        <v>77</v>
      </c>
      <c r="B12" s="8">
        <v>257</v>
      </c>
      <c r="C12" s="8">
        <v>354</v>
      </c>
      <c r="D12" s="8">
        <v>453</v>
      </c>
      <c r="E12" s="8">
        <v>512</v>
      </c>
      <c r="F12" s="8">
        <v>406</v>
      </c>
    </row>
    <row r="13" spans="1:6" ht="18" customHeight="1" thickBot="1" x14ac:dyDescent="0.35">
      <c r="A13" s="7" t="s">
        <v>78</v>
      </c>
      <c r="B13" s="8">
        <v>960</v>
      </c>
      <c r="C13" s="8">
        <v>-4499</v>
      </c>
      <c r="D13" s="8">
        <v>78</v>
      </c>
      <c r="E13" s="8">
        <v>653</v>
      </c>
      <c r="F13" s="8">
        <v>1055</v>
      </c>
    </row>
    <row r="14" spans="1:6" ht="18" customHeight="1" thickBot="1" x14ac:dyDescent="0.35">
      <c r="A14" s="7" t="s">
        <v>79</v>
      </c>
      <c r="B14" s="8">
        <v>-109</v>
      </c>
      <c r="C14" s="8">
        <v>-152</v>
      </c>
      <c r="D14" s="8">
        <v>-300</v>
      </c>
      <c r="E14" s="8">
        <v>-148</v>
      </c>
      <c r="F14" s="8">
        <v>-188</v>
      </c>
    </row>
    <row r="15" spans="1:6" ht="18" customHeight="1" thickBot="1" x14ac:dyDescent="0.35">
      <c r="A15" s="7" t="s">
        <v>80</v>
      </c>
      <c r="B15" s="8">
        <v>-72</v>
      </c>
      <c r="C15" s="8">
        <v>-20</v>
      </c>
      <c r="D15" s="8">
        <v>-93</v>
      </c>
      <c r="E15" s="8">
        <v>16</v>
      </c>
      <c r="F15" s="8">
        <v>92</v>
      </c>
    </row>
    <row r="16" spans="1:6" ht="18" customHeight="1" thickBot="1" x14ac:dyDescent="0.35">
      <c r="A16" s="7" t="s">
        <v>81</v>
      </c>
      <c r="B16" s="8">
        <v>7997</v>
      </c>
      <c r="C16" s="8">
        <v>1908</v>
      </c>
      <c r="D16" s="8">
        <v>2111</v>
      </c>
      <c r="E16" s="8">
        <v>2588</v>
      </c>
      <c r="F16" s="8">
        <v>2914</v>
      </c>
    </row>
    <row r="17" spans="1:6" ht="18" customHeight="1" thickBot="1" x14ac:dyDescent="0.35">
      <c r="A17" s="7" t="s">
        <v>82</v>
      </c>
      <c r="B17" s="8">
        <v>-461</v>
      </c>
      <c r="C17" s="8">
        <v>-486</v>
      </c>
      <c r="D17" s="8">
        <v>-628</v>
      </c>
      <c r="E17" s="8">
        <v>-682</v>
      </c>
      <c r="F17" s="8">
        <v>-1109</v>
      </c>
    </row>
    <row r="18" spans="1:6" ht="18" customHeight="1" thickBot="1" x14ac:dyDescent="0.35">
      <c r="A18" s="7" t="s">
        <v>83</v>
      </c>
      <c r="B18" s="8">
        <v>-114</v>
      </c>
      <c r="C18" s="8">
        <v>-107</v>
      </c>
      <c r="D18" s="8">
        <v>-112</v>
      </c>
      <c r="E18" s="8">
        <v>-110</v>
      </c>
      <c r="F18" s="8">
        <v>-33</v>
      </c>
    </row>
    <row r="19" spans="1:6" ht="18" customHeight="1" thickBot="1" x14ac:dyDescent="0.35">
      <c r="A19" s="7" t="s">
        <v>84</v>
      </c>
      <c r="B19" s="8">
        <v>129</v>
      </c>
      <c r="C19" s="8">
        <v>250</v>
      </c>
      <c r="D19" s="8">
        <v>43</v>
      </c>
      <c r="E19" s="8">
        <v>65</v>
      </c>
      <c r="F19" s="8">
        <v>668</v>
      </c>
    </row>
    <row r="20" spans="1:6" ht="18" customHeight="1" thickBot="1" x14ac:dyDescent="0.35">
      <c r="A20" s="7" t="s">
        <v>85</v>
      </c>
      <c r="B20" s="8">
        <v>-103</v>
      </c>
      <c r="C20" s="8">
        <v>-375</v>
      </c>
      <c r="D20" s="8">
        <v>6</v>
      </c>
      <c r="E20" s="8">
        <v>0</v>
      </c>
      <c r="F20" s="8">
        <v>8</v>
      </c>
    </row>
    <row r="21" spans="1:6" ht="18" customHeight="1" thickBot="1" x14ac:dyDescent="0.35">
      <c r="A21" s="7" t="s">
        <v>86</v>
      </c>
      <c r="B21" s="8">
        <v>7448</v>
      </c>
      <c r="C21" s="8">
        <v>1190</v>
      </c>
      <c r="D21" s="8">
        <v>1420</v>
      </c>
      <c r="E21" s="8">
        <v>1861</v>
      </c>
      <c r="F21" s="8">
        <v>2448</v>
      </c>
    </row>
    <row r="22" spans="1:6" ht="18" customHeight="1" thickBot="1" x14ac:dyDescent="0.35">
      <c r="A22" s="7" t="s">
        <v>87</v>
      </c>
      <c r="B22" s="8">
        <v>1430</v>
      </c>
      <c r="C22" s="8">
        <v>1581</v>
      </c>
      <c r="D22" s="8">
        <v>1041</v>
      </c>
      <c r="E22" s="8">
        <v>573</v>
      </c>
      <c r="F22" s="8">
        <v>907</v>
      </c>
    </row>
    <row r="23" spans="1:6" ht="18" customHeight="1" thickBot="1" x14ac:dyDescent="0.35">
      <c r="A23" s="7" t="s">
        <v>88</v>
      </c>
      <c r="B23" s="8">
        <v>6018</v>
      </c>
      <c r="C23" s="8">
        <v>-391</v>
      </c>
      <c r="D23" s="8">
        <v>379</v>
      </c>
      <c r="E23" s="8">
        <v>1288</v>
      </c>
      <c r="F23" s="8">
        <v>1541</v>
      </c>
    </row>
    <row r="24" spans="1:6" ht="18" customHeight="1" thickBot="1" x14ac:dyDescent="0.35">
      <c r="A24" s="7" t="s">
        <v>89</v>
      </c>
      <c r="B24" s="8">
        <v>-36</v>
      </c>
      <c r="C24" s="8">
        <v>0</v>
      </c>
      <c r="D24" s="8">
        <v>0</v>
      </c>
      <c r="E24" s="8">
        <v>165</v>
      </c>
      <c r="F24" s="8">
        <v>185</v>
      </c>
    </row>
    <row r="25" spans="1:6" ht="18" customHeight="1" thickBot="1" x14ac:dyDescent="0.35">
      <c r="A25" s="7" t="s">
        <v>90</v>
      </c>
      <c r="B25" s="8">
        <v>5982</v>
      </c>
      <c r="C25" s="8">
        <v>-391</v>
      </c>
      <c r="D25" s="8">
        <v>379</v>
      </c>
      <c r="E25" s="8">
        <v>1453</v>
      </c>
      <c r="F25" s="8">
        <v>1726</v>
      </c>
    </row>
    <row r="26" spans="1:6" ht="18" customHeight="1" thickBot="1" x14ac:dyDescent="0.35">
      <c r="A26" s="7" t="s">
        <v>91</v>
      </c>
      <c r="B26" s="8">
        <v>-459</v>
      </c>
      <c r="C26" s="8">
        <v>-236</v>
      </c>
      <c r="D26" s="8">
        <v>-154</v>
      </c>
      <c r="E26" s="8">
        <v>-155</v>
      </c>
      <c r="F26" s="8">
        <v>-107</v>
      </c>
    </row>
    <row r="27" spans="1:6" ht="18" customHeight="1" thickBot="1" x14ac:dyDescent="0.35">
      <c r="A27" s="7" t="s">
        <v>92</v>
      </c>
      <c r="B27" s="8">
        <v>5523</v>
      </c>
      <c r="C27" s="8">
        <v>-627</v>
      </c>
      <c r="D27" s="8">
        <v>225</v>
      </c>
      <c r="E27" s="8">
        <v>1298</v>
      </c>
      <c r="F27" s="8">
        <v>1619</v>
      </c>
    </row>
    <row r="28" spans="1:6" ht="18" customHeight="1" thickBot="1" x14ac:dyDescent="0.35">
      <c r="A28" s="7" t="s">
        <v>93</v>
      </c>
      <c r="B28" s="8">
        <v>5523</v>
      </c>
      <c r="C28" s="8">
        <v>-627</v>
      </c>
      <c r="D28" s="8">
        <v>225</v>
      </c>
      <c r="E28" s="8">
        <v>1298</v>
      </c>
      <c r="F28" s="8">
        <v>1619</v>
      </c>
    </row>
    <row r="29" spans="1:6" ht="18" customHeight="1" thickBot="1" x14ac:dyDescent="0.35">
      <c r="A29" s="4" t="s">
        <v>94</v>
      </c>
      <c r="B29" s="9">
        <v>0</v>
      </c>
      <c r="C29" s="9">
        <v>0</v>
      </c>
      <c r="D29" s="9">
        <v>0</v>
      </c>
      <c r="E29" s="5">
        <v>4.7689000000000004</v>
      </c>
      <c r="F29" s="5">
        <v>0.24729999999999999</v>
      </c>
    </row>
    <row r="30" spans="1:6" ht="18" customHeight="1" thickBot="1" x14ac:dyDescent="0.35">
      <c r="A30" s="7" t="s">
        <v>95</v>
      </c>
      <c r="B30" s="8">
        <v>918</v>
      </c>
      <c r="C30" s="8">
        <v>902</v>
      </c>
      <c r="D30" s="8">
        <v>893</v>
      </c>
      <c r="E30" s="8">
        <v>893</v>
      </c>
      <c r="F30" s="8">
        <v>892</v>
      </c>
    </row>
    <row r="31" spans="1:6" ht="18" customHeight="1" thickBot="1" x14ac:dyDescent="0.35">
      <c r="A31" s="7" t="s">
        <v>96</v>
      </c>
      <c r="B31" s="8">
        <v>920</v>
      </c>
      <c r="C31" s="8">
        <v>902</v>
      </c>
      <c r="D31" s="8">
        <v>895</v>
      </c>
      <c r="E31" s="8">
        <v>895</v>
      </c>
      <c r="F31" s="8">
        <v>894</v>
      </c>
    </row>
    <row r="32" spans="1:6" ht="18" customHeight="1" thickBot="1" x14ac:dyDescent="0.35">
      <c r="A32" s="4" t="s">
        <v>97</v>
      </c>
      <c r="B32" s="6">
        <v>2.9999999999999997E-4</v>
      </c>
      <c r="C32" s="5">
        <v>-2.0400000000000001E-2</v>
      </c>
      <c r="D32" s="5">
        <v>-7.4000000000000003E-3</v>
      </c>
      <c r="E32" s="5">
        <v>-1E-4</v>
      </c>
      <c r="F32" s="5">
        <v>-1E-3</v>
      </c>
    </row>
    <row r="33" spans="1:6" ht="18" customHeight="1" thickBot="1" x14ac:dyDescent="0.35">
      <c r="A33" s="7" t="s">
        <v>98</v>
      </c>
      <c r="B33" s="8">
        <v>6.01</v>
      </c>
      <c r="C33" s="8">
        <v>-0.7</v>
      </c>
      <c r="D33" s="8">
        <v>0.25</v>
      </c>
      <c r="E33" s="8">
        <v>1.45</v>
      </c>
      <c r="F33" s="8">
        <v>1.82</v>
      </c>
    </row>
    <row r="34" spans="1:6" ht="18" customHeight="1" thickBot="1" x14ac:dyDescent="0.35">
      <c r="A34" s="7" t="s">
        <v>99</v>
      </c>
      <c r="B34" s="8">
        <v>6</v>
      </c>
      <c r="C34" s="8">
        <v>-0.7</v>
      </c>
      <c r="D34" s="8">
        <v>0.25</v>
      </c>
      <c r="E34" s="8">
        <v>1.45</v>
      </c>
      <c r="F34" s="8">
        <v>1.81</v>
      </c>
    </row>
    <row r="35" spans="1:6" ht="17.399999999999999" customHeight="1" x14ac:dyDescent="0.3">
      <c r="A35" s="4" t="s">
        <v>100</v>
      </c>
      <c r="B35" s="9">
        <v>0</v>
      </c>
      <c r="C35" s="9">
        <v>0</v>
      </c>
      <c r="D35" s="9">
        <v>0</v>
      </c>
      <c r="E35" s="5">
        <v>4.8</v>
      </c>
      <c r="F35" s="5">
        <v>0.24829999999999999</v>
      </c>
    </row>
  </sheetData>
  <mergeCells count="1">
    <mergeCell ref="A1:F1"/>
  </mergeCells>
  <pageMargins left="0.25" right="0.25" top="0.5" bottom="0.5" header="0.3" footer="0.3"/>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57"/>
  <sheetViews>
    <sheetView showGridLines="0" workbookViewId="0">
      <selection sqref="A1:F1"/>
    </sheetView>
  </sheetViews>
  <sheetFormatPr defaultRowHeight="14.4" x14ac:dyDescent="0.3"/>
  <cols>
    <col min="1" max="1" width="48" customWidth="1"/>
    <col min="2" max="6" width="15" customWidth="1"/>
  </cols>
  <sheetData>
    <row r="1" spans="1:6" ht="17.399999999999999" customHeight="1" x14ac:dyDescent="0.3">
      <c r="A1" s="42" t="s">
        <v>101</v>
      </c>
      <c r="B1" s="43"/>
      <c r="C1" s="43"/>
      <c r="D1" s="43"/>
      <c r="E1" s="43"/>
      <c r="F1" s="43"/>
    </row>
    <row r="2" spans="1:6" ht="18" customHeight="1" thickBot="1" x14ac:dyDescent="0.35">
      <c r="A2" s="10" t="s">
        <v>102</v>
      </c>
      <c r="B2" s="10" t="s">
        <v>103</v>
      </c>
      <c r="C2" s="10" t="s">
        <v>104</v>
      </c>
      <c r="D2" s="10" t="s">
        <v>105</v>
      </c>
      <c r="E2" s="10" t="s">
        <v>106</v>
      </c>
      <c r="F2" s="10" t="s">
        <v>107</v>
      </c>
    </row>
    <row r="3" spans="1:6" ht="18" customHeight="1" thickBot="1" x14ac:dyDescent="0.35">
      <c r="A3" s="7" t="s">
        <v>108</v>
      </c>
      <c r="B3" s="8">
        <v>2624</v>
      </c>
      <c r="C3" s="8">
        <v>2516</v>
      </c>
      <c r="D3" s="8">
        <v>2624</v>
      </c>
      <c r="E3" s="8">
        <v>2914</v>
      </c>
      <c r="F3" s="8">
        <v>2670</v>
      </c>
    </row>
    <row r="4" spans="1:6" ht="18" customHeight="1" thickBot="1" x14ac:dyDescent="0.35">
      <c r="A4" s="7" t="s">
        <v>109</v>
      </c>
      <c r="B4" s="8">
        <v>208</v>
      </c>
      <c r="C4" s="8">
        <v>232</v>
      </c>
      <c r="D4" s="8">
        <v>53</v>
      </c>
      <c r="E4" s="8">
        <v>67</v>
      </c>
      <c r="F4" s="8">
        <v>89</v>
      </c>
    </row>
    <row r="5" spans="1:6" ht="18" customHeight="1" thickBot="1" x14ac:dyDescent="0.35">
      <c r="A5" s="7" t="s">
        <v>110</v>
      </c>
      <c r="B5" s="8">
        <v>1554</v>
      </c>
      <c r="C5" s="8">
        <v>1939</v>
      </c>
      <c r="D5" s="8">
        <v>1139</v>
      </c>
      <c r="E5" s="8">
        <v>0</v>
      </c>
      <c r="F5" s="8">
        <v>1327</v>
      </c>
    </row>
    <row r="6" spans="1:6" ht="18" customHeight="1" thickBot="1" x14ac:dyDescent="0.35">
      <c r="A6" s="7" t="s">
        <v>111</v>
      </c>
      <c r="B6" s="8">
        <v>4386</v>
      </c>
      <c r="C6" s="8">
        <v>4687</v>
      </c>
      <c r="D6" s="8">
        <v>3816</v>
      </c>
      <c r="E6" s="8">
        <v>2981</v>
      </c>
      <c r="F6" s="8">
        <v>4086</v>
      </c>
    </row>
    <row r="7" spans="1:6" ht="18" customHeight="1" thickBot="1" x14ac:dyDescent="0.35">
      <c r="A7" s="7" t="s">
        <v>112</v>
      </c>
      <c r="B7" s="11">
        <v>-0.2858</v>
      </c>
      <c r="C7" s="12">
        <v>6.8599999999999994E-2</v>
      </c>
      <c r="D7" s="11">
        <v>-0.18579999999999999</v>
      </c>
      <c r="E7" s="11">
        <v>-0.21879999999999999</v>
      </c>
      <c r="F7" s="12">
        <v>0.37069999999999997</v>
      </c>
    </row>
    <row r="8" spans="1:6" ht="18" customHeight="1" thickBot="1" x14ac:dyDescent="0.35">
      <c r="A8" s="7" t="s">
        <v>113</v>
      </c>
      <c r="B8" s="8">
        <v>11946</v>
      </c>
      <c r="C8" s="8">
        <v>12057</v>
      </c>
      <c r="D8" s="8">
        <v>10417</v>
      </c>
      <c r="E8" s="8">
        <v>10393</v>
      </c>
      <c r="F8" s="8">
        <v>8327</v>
      </c>
    </row>
    <row r="9" spans="1:6" ht="18" customHeight="1" thickBot="1" x14ac:dyDescent="0.35">
      <c r="A9" s="7" t="s">
        <v>114</v>
      </c>
      <c r="B9" s="8">
        <v>2187</v>
      </c>
      <c r="C9" s="8">
        <v>2485</v>
      </c>
      <c r="D9" s="8">
        <v>1761</v>
      </c>
      <c r="E9" s="8">
        <v>3996</v>
      </c>
      <c r="F9" s="8">
        <v>1623</v>
      </c>
    </row>
    <row r="10" spans="1:6" ht="18" customHeight="1" thickBot="1" x14ac:dyDescent="0.35">
      <c r="A10" s="7" t="s">
        <v>115</v>
      </c>
      <c r="B10" s="8">
        <v>14282</v>
      </c>
      <c r="C10" s="8">
        <v>14645</v>
      </c>
      <c r="D10" s="8">
        <v>12360</v>
      </c>
      <c r="E10" s="8">
        <v>14389</v>
      </c>
      <c r="F10" s="8">
        <v>10088</v>
      </c>
    </row>
    <row r="11" spans="1:6" ht="18" customHeight="1" thickBot="1" x14ac:dyDescent="0.35">
      <c r="A11" s="7" t="s">
        <v>116</v>
      </c>
      <c r="B11" s="8">
        <v>13868</v>
      </c>
      <c r="C11" s="8">
        <v>16028</v>
      </c>
      <c r="D11" s="8">
        <v>13876</v>
      </c>
      <c r="E11" s="8">
        <v>13681</v>
      </c>
      <c r="F11" s="8">
        <v>12168</v>
      </c>
    </row>
    <row r="12" spans="1:6" ht="18" customHeight="1" thickBot="1" x14ac:dyDescent="0.35">
      <c r="A12" s="7" t="s">
        <v>117</v>
      </c>
      <c r="B12" s="8">
        <v>327</v>
      </c>
      <c r="C12" s="8">
        <v>285</v>
      </c>
      <c r="D12" s="8">
        <v>225</v>
      </c>
      <c r="E12" s="8">
        <v>0</v>
      </c>
      <c r="F12" s="8">
        <v>207</v>
      </c>
    </row>
    <row r="13" spans="1:6" ht="18" customHeight="1" thickBot="1" x14ac:dyDescent="0.35">
      <c r="A13" s="7" t="s">
        <v>118</v>
      </c>
      <c r="B13" s="8">
        <v>2188</v>
      </c>
      <c r="C13" s="8">
        <v>1777</v>
      </c>
      <c r="D13" s="8">
        <v>1195</v>
      </c>
      <c r="E13" s="8">
        <v>181</v>
      </c>
      <c r="F13" s="8">
        <v>5135</v>
      </c>
    </row>
    <row r="14" spans="1:6" ht="18" customHeight="1" thickBot="1" x14ac:dyDescent="0.35">
      <c r="A14" s="7" t="s">
        <v>119</v>
      </c>
      <c r="B14" s="8">
        <v>35051</v>
      </c>
      <c r="C14" s="8">
        <v>37422</v>
      </c>
      <c r="D14" s="8">
        <v>31472</v>
      </c>
      <c r="E14" s="8">
        <v>31232</v>
      </c>
      <c r="F14" s="8">
        <v>31684</v>
      </c>
    </row>
    <row r="15" spans="1:6" ht="18" customHeight="1" thickBot="1" x14ac:dyDescent="0.35">
      <c r="A15" s="7" t="s">
        <v>120</v>
      </c>
      <c r="B15" s="8">
        <v>17871</v>
      </c>
      <c r="C15" s="8">
        <v>17908</v>
      </c>
      <c r="D15" s="8">
        <v>17639</v>
      </c>
      <c r="E15" s="8">
        <v>17773</v>
      </c>
      <c r="F15" s="8">
        <v>20325</v>
      </c>
    </row>
    <row r="16" spans="1:6" ht="18" customHeight="1" thickBot="1" x14ac:dyDescent="0.35">
      <c r="A16" s="7" t="s">
        <v>121</v>
      </c>
      <c r="B16" s="8">
        <v>12958</v>
      </c>
      <c r="C16" s="8">
        <v>8121</v>
      </c>
      <c r="D16" s="8">
        <v>7671</v>
      </c>
      <c r="E16" s="8">
        <v>6975</v>
      </c>
      <c r="F16" s="8">
        <v>6048</v>
      </c>
    </row>
    <row r="17" spans="1:6" ht="18" customHeight="1" thickBot="1" x14ac:dyDescent="0.35">
      <c r="A17" s="7" t="s">
        <v>122</v>
      </c>
      <c r="B17" s="8">
        <v>7521</v>
      </c>
      <c r="C17" s="8">
        <v>7695</v>
      </c>
      <c r="D17" s="8">
        <v>7499</v>
      </c>
      <c r="E17" s="8">
        <v>7720</v>
      </c>
      <c r="F17" s="8">
        <v>6553</v>
      </c>
    </row>
    <row r="18" spans="1:6" ht="18" customHeight="1" thickBot="1" x14ac:dyDescent="0.35">
      <c r="A18" s="7" t="s">
        <v>123</v>
      </c>
      <c r="B18" s="8">
        <v>5978</v>
      </c>
      <c r="C18" s="8">
        <v>5578</v>
      </c>
      <c r="D18" s="8">
        <v>4717</v>
      </c>
      <c r="E18" s="8">
        <v>4263</v>
      </c>
      <c r="F18" s="8">
        <v>3139</v>
      </c>
    </row>
    <row r="19" spans="1:6" ht="18" customHeight="1" thickBot="1" x14ac:dyDescent="0.35">
      <c r="A19" s="7" t="s">
        <v>124</v>
      </c>
      <c r="B19" s="8">
        <v>40</v>
      </c>
      <c r="C19" s="8">
        <v>32</v>
      </c>
      <c r="D19" s="8">
        <v>30</v>
      </c>
      <c r="E19" s="8">
        <v>29</v>
      </c>
      <c r="F19" s="8">
        <v>27</v>
      </c>
    </row>
    <row r="20" spans="1:6" ht="18" customHeight="1" thickBot="1" x14ac:dyDescent="0.35">
      <c r="A20" s="7" t="s">
        <v>125</v>
      </c>
      <c r="B20" s="8">
        <v>2600</v>
      </c>
      <c r="C20" s="8">
        <v>880</v>
      </c>
      <c r="D20" s="8">
        <v>617</v>
      </c>
      <c r="E20" s="8">
        <v>574</v>
      </c>
      <c r="F20" s="8">
        <v>544</v>
      </c>
    </row>
    <row r="21" spans="1:6" ht="18" customHeight="1" thickBot="1" x14ac:dyDescent="0.35">
      <c r="A21" s="7" t="s">
        <v>126</v>
      </c>
      <c r="B21" s="8">
        <v>5322</v>
      </c>
      <c r="C21" s="8">
        <v>6791</v>
      </c>
      <c r="D21" s="8">
        <v>7693</v>
      </c>
      <c r="E21" s="8">
        <v>11797</v>
      </c>
      <c r="F21" s="8">
        <v>7834</v>
      </c>
    </row>
    <row r="22" spans="1:6" ht="17.399999999999999" customHeight="1" x14ac:dyDescent="0.3">
      <c r="A22" s="13" t="s">
        <v>7</v>
      </c>
      <c r="B22" s="14">
        <v>87383</v>
      </c>
      <c r="C22" s="14">
        <v>84472</v>
      </c>
      <c r="D22" s="14">
        <v>77395</v>
      </c>
      <c r="E22" s="14">
        <v>80415</v>
      </c>
      <c r="F22" s="14">
        <v>76174</v>
      </c>
    </row>
    <row r="23" spans="1:6" x14ac:dyDescent="0.3">
      <c r="A23" s="15"/>
      <c r="B23" s="16"/>
      <c r="C23" s="16"/>
      <c r="D23" s="16"/>
      <c r="E23" s="16"/>
      <c r="F23" s="16"/>
    </row>
    <row r="24" spans="1:6" ht="17.399999999999999" customHeight="1" x14ac:dyDescent="0.3">
      <c r="A24" s="7" t="s">
        <v>11</v>
      </c>
      <c r="B24" s="17"/>
      <c r="C24" s="8">
        <f>(B8+C8)/2</f>
        <v>12001.5</v>
      </c>
      <c r="D24" s="8">
        <f>(C8+D8)/2</f>
        <v>11237</v>
      </c>
      <c r="E24" s="8">
        <f>(D8+E8)/2</f>
        <v>10405</v>
      </c>
      <c r="F24" s="8">
        <f>(E8+F8)/2</f>
        <v>9360</v>
      </c>
    </row>
    <row r="25" spans="1:6" x14ac:dyDescent="0.3">
      <c r="A25" s="15"/>
      <c r="B25" s="16"/>
      <c r="C25" s="16"/>
      <c r="D25" s="16"/>
      <c r="E25" s="16"/>
      <c r="F25" s="16"/>
    </row>
    <row r="26" spans="1:6" ht="17.399999999999999" customHeight="1" x14ac:dyDescent="0.3">
      <c r="A26" s="18" t="s">
        <v>127</v>
      </c>
      <c r="B26" s="19"/>
      <c r="C26" s="19"/>
      <c r="D26" s="19"/>
      <c r="E26" s="19"/>
      <c r="F26" s="19"/>
    </row>
    <row r="27" spans="1:6" ht="18" customHeight="1" thickBot="1" x14ac:dyDescent="0.35">
      <c r="A27" s="10" t="s">
        <v>102</v>
      </c>
      <c r="B27" s="20" t="s">
        <v>103</v>
      </c>
      <c r="C27" s="20" t="s">
        <v>104</v>
      </c>
      <c r="D27" s="20" t="s">
        <v>105</v>
      </c>
      <c r="E27" s="20" t="s">
        <v>106</v>
      </c>
      <c r="F27" s="20" t="s">
        <v>107</v>
      </c>
    </row>
    <row r="28" spans="1:6" ht="18" customHeight="1" thickBot="1" x14ac:dyDescent="0.35">
      <c r="A28" s="7" t="s">
        <v>128</v>
      </c>
      <c r="B28" s="8">
        <v>7826</v>
      </c>
      <c r="C28" s="8">
        <v>8434</v>
      </c>
      <c r="D28" s="8">
        <v>6741</v>
      </c>
      <c r="E28" s="8">
        <v>6923</v>
      </c>
      <c r="F28" s="8">
        <v>5484</v>
      </c>
    </row>
    <row r="29" spans="1:6" ht="18" customHeight="1" thickBot="1" x14ac:dyDescent="0.35">
      <c r="A29" s="7" t="s">
        <v>129</v>
      </c>
      <c r="B29" s="8">
        <v>2374</v>
      </c>
      <c r="C29" s="8">
        <v>2054</v>
      </c>
      <c r="D29" s="8">
        <v>1414</v>
      </c>
      <c r="E29" s="8">
        <v>1579</v>
      </c>
      <c r="F29" s="8">
        <v>1671</v>
      </c>
    </row>
    <row r="30" spans="1:6" ht="18" customHeight="1" thickBot="1" x14ac:dyDescent="0.35">
      <c r="A30" s="7" t="s">
        <v>130</v>
      </c>
      <c r="B30" s="8">
        <v>248</v>
      </c>
      <c r="C30" s="8">
        <v>654</v>
      </c>
      <c r="D30" s="8">
        <v>0</v>
      </c>
      <c r="E30" s="8">
        <v>0</v>
      </c>
      <c r="F30" s="8">
        <v>0</v>
      </c>
    </row>
    <row r="31" spans="1:6" ht="18" customHeight="1" thickBot="1" x14ac:dyDescent="0.35">
      <c r="A31" s="7" t="s">
        <v>131</v>
      </c>
      <c r="B31" s="8">
        <v>3677</v>
      </c>
      <c r="C31" s="8">
        <v>3615</v>
      </c>
      <c r="D31" s="8">
        <v>2597</v>
      </c>
      <c r="E31" s="8">
        <v>3200</v>
      </c>
      <c r="F31" s="8">
        <v>3167</v>
      </c>
    </row>
    <row r="32" spans="1:6" ht="18" customHeight="1" thickBot="1" x14ac:dyDescent="0.35">
      <c r="A32" s="7" t="s">
        <v>132</v>
      </c>
      <c r="B32" s="8">
        <v>334</v>
      </c>
      <c r="C32" s="8">
        <v>329</v>
      </c>
      <c r="D32" s="8">
        <v>350</v>
      </c>
      <c r="E32" s="8">
        <v>340</v>
      </c>
      <c r="F32" s="8">
        <v>342</v>
      </c>
    </row>
    <row r="33" spans="1:6" ht="18" customHeight="1" thickBot="1" x14ac:dyDescent="0.35">
      <c r="A33" s="7" t="s">
        <v>133</v>
      </c>
      <c r="B33" s="8">
        <v>1161</v>
      </c>
      <c r="C33" s="8">
        <v>995</v>
      </c>
      <c r="D33" s="8">
        <v>442</v>
      </c>
      <c r="E33" s="8">
        <v>404</v>
      </c>
      <c r="F33" s="8">
        <v>213</v>
      </c>
    </row>
    <row r="34" spans="1:6" ht="18" customHeight="1" thickBot="1" x14ac:dyDescent="0.35">
      <c r="A34" s="7" t="s">
        <v>134</v>
      </c>
      <c r="B34" s="8">
        <v>1021</v>
      </c>
      <c r="C34" s="8">
        <v>1016</v>
      </c>
      <c r="D34" s="8">
        <v>853</v>
      </c>
      <c r="E34" s="8">
        <v>803</v>
      </c>
      <c r="F34" s="8">
        <v>709</v>
      </c>
    </row>
    <row r="35" spans="1:6" ht="18" customHeight="1" thickBot="1" x14ac:dyDescent="0.35">
      <c r="A35" s="7" t="s">
        <v>135</v>
      </c>
      <c r="B35" s="8">
        <v>3440</v>
      </c>
      <c r="C35" s="8">
        <v>3343</v>
      </c>
      <c r="D35" s="8">
        <v>3474</v>
      </c>
      <c r="E35" s="8">
        <v>3790</v>
      </c>
      <c r="F35" s="8">
        <v>4825</v>
      </c>
    </row>
    <row r="36" spans="1:6" ht="18" customHeight="1" thickBot="1" x14ac:dyDescent="0.35">
      <c r="A36" s="13" t="s">
        <v>136</v>
      </c>
      <c r="B36" s="14">
        <v>20081</v>
      </c>
      <c r="C36" s="14">
        <v>20440</v>
      </c>
      <c r="D36" s="14">
        <v>15871</v>
      </c>
      <c r="E36" s="14">
        <v>17039</v>
      </c>
      <c r="F36" s="14">
        <v>16411</v>
      </c>
    </row>
    <row r="37" spans="1:6" ht="18" customHeight="1" thickBot="1" x14ac:dyDescent="0.35">
      <c r="A37" s="7" t="s">
        <v>137</v>
      </c>
      <c r="B37" s="8">
        <v>13799</v>
      </c>
      <c r="C37" s="8">
        <v>15192</v>
      </c>
      <c r="D37" s="8">
        <v>17101</v>
      </c>
      <c r="E37" s="8">
        <v>19132</v>
      </c>
      <c r="F37" s="8">
        <v>18488</v>
      </c>
    </row>
    <row r="38" spans="1:6" ht="18" customHeight="1" thickBot="1" x14ac:dyDescent="0.35">
      <c r="A38" s="7" t="s">
        <v>138</v>
      </c>
      <c r="B38" s="8">
        <v>1078</v>
      </c>
      <c r="C38" s="8">
        <v>1159</v>
      </c>
      <c r="D38" s="8">
        <v>1299</v>
      </c>
      <c r="E38" s="8">
        <v>1323</v>
      </c>
      <c r="F38" s="8">
        <v>1212</v>
      </c>
    </row>
    <row r="39" spans="1:6" ht="18" customHeight="1" thickBot="1" x14ac:dyDescent="0.35">
      <c r="A39" s="7" t="s">
        <v>139</v>
      </c>
      <c r="B39" s="8">
        <v>218</v>
      </c>
      <c r="C39" s="8">
        <v>192</v>
      </c>
      <c r="D39" s="8">
        <v>160</v>
      </c>
      <c r="E39" s="8">
        <v>217</v>
      </c>
      <c r="F39" s="8">
        <v>238</v>
      </c>
    </row>
    <row r="40" spans="1:6" ht="18" customHeight="1" thickBot="1" x14ac:dyDescent="0.35">
      <c r="A40" s="7" t="s">
        <v>140</v>
      </c>
      <c r="B40" s="8">
        <v>6160</v>
      </c>
      <c r="C40" s="8">
        <v>2810</v>
      </c>
      <c r="D40" s="8">
        <v>2896</v>
      </c>
      <c r="E40" s="8">
        <v>2403</v>
      </c>
      <c r="F40" s="8">
        <v>1832</v>
      </c>
    </row>
    <row r="41" spans="1:6" ht="18" customHeight="1" thickBot="1" x14ac:dyDescent="0.35">
      <c r="A41" s="7" t="s">
        <v>141</v>
      </c>
      <c r="B41" s="8">
        <v>1499</v>
      </c>
      <c r="C41" s="8">
        <v>1543</v>
      </c>
      <c r="D41" s="8">
        <v>1140</v>
      </c>
      <c r="E41" s="8">
        <v>1005</v>
      </c>
      <c r="F41" s="8">
        <v>953</v>
      </c>
    </row>
    <row r="42" spans="1:6" ht="18" customHeight="1" thickBot="1" x14ac:dyDescent="0.35">
      <c r="A42" s="7" t="s">
        <v>142</v>
      </c>
      <c r="B42" s="8">
        <v>2467</v>
      </c>
      <c r="C42" s="8">
        <v>2213</v>
      </c>
      <c r="D42" s="8">
        <v>2283</v>
      </c>
      <c r="E42" s="8">
        <v>2413</v>
      </c>
      <c r="F42" s="8">
        <v>2703</v>
      </c>
    </row>
    <row r="43" spans="1:6" ht="17.399999999999999" customHeight="1" x14ac:dyDescent="0.3">
      <c r="A43" s="13" t="s">
        <v>143</v>
      </c>
      <c r="B43" s="14">
        <v>45302</v>
      </c>
      <c r="C43" s="14">
        <v>43549</v>
      </c>
      <c r="D43" s="14">
        <v>40750</v>
      </c>
      <c r="E43" s="14">
        <v>43532</v>
      </c>
      <c r="F43" s="14">
        <v>41837</v>
      </c>
    </row>
    <row r="44" spans="1:6" ht="17.399999999999999" customHeight="1" x14ac:dyDescent="0.3">
      <c r="A44" s="13" t="s">
        <v>14</v>
      </c>
      <c r="B44" s="14">
        <f>SUM(B30,B31,B37)</f>
        <v>17724</v>
      </c>
      <c r="C44" s="14">
        <f>SUM(C30,C31,C37)</f>
        <v>19461</v>
      </c>
      <c r="D44" s="14">
        <f>SUM(D30,D31,D37)</f>
        <v>19698</v>
      </c>
      <c r="E44" s="14">
        <f>SUM(E30,E31,E37)</f>
        <v>22332</v>
      </c>
      <c r="F44" s="14">
        <f>SUM(F30,F31,F37)</f>
        <v>21655</v>
      </c>
    </row>
    <row r="45" spans="1:6" x14ac:dyDescent="0.3">
      <c r="A45" s="15"/>
      <c r="B45" s="16"/>
      <c r="C45" s="16"/>
      <c r="D45" s="16"/>
      <c r="E45" s="16"/>
      <c r="F45" s="16"/>
    </row>
    <row r="46" spans="1:6" ht="17.399999999999999" customHeight="1" x14ac:dyDescent="0.3">
      <c r="A46" s="18" t="s">
        <v>9</v>
      </c>
      <c r="B46" s="19"/>
      <c r="C46" s="19"/>
      <c r="D46" s="19"/>
      <c r="E46" s="19"/>
      <c r="F46" s="19"/>
    </row>
    <row r="47" spans="1:6" ht="18" customHeight="1" thickBot="1" x14ac:dyDescent="0.35">
      <c r="A47" s="10" t="s">
        <v>102</v>
      </c>
      <c r="B47" s="20" t="s">
        <v>103</v>
      </c>
      <c r="C47" s="20" t="s">
        <v>104</v>
      </c>
      <c r="D47" s="20" t="s">
        <v>105</v>
      </c>
      <c r="E47" s="20" t="s">
        <v>106</v>
      </c>
      <c r="F47" s="20" t="s">
        <v>107</v>
      </c>
    </row>
    <row r="48" spans="1:6" ht="18" customHeight="1" thickBot="1" x14ac:dyDescent="0.35">
      <c r="A48" s="7" t="s">
        <v>144</v>
      </c>
      <c r="B48" s="8">
        <v>1176</v>
      </c>
      <c r="C48" s="8">
        <v>1144</v>
      </c>
      <c r="D48" s="8">
        <v>1142</v>
      </c>
      <c r="E48" s="8">
        <v>1142</v>
      </c>
      <c r="F48" s="8">
        <v>1142</v>
      </c>
    </row>
    <row r="49" spans="1:6" ht="18" customHeight="1" thickBot="1" x14ac:dyDescent="0.35">
      <c r="A49" s="7" t="s">
        <v>145</v>
      </c>
      <c r="B49" s="8">
        <v>40365</v>
      </c>
      <c r="C49" s="8">
        <v>35453</v>
      </c>
      <c r="D49" s="8">
        <v>32517</v>
      </c>
      <c r="E49" s="8">
        <v>30883</v>
      </c>
      <c r="F49" s="8">
        <v>29931</v>
      </c>
    </row>
    <row r="50" spans="1:6" ht="18" customHeight="1" thickBot="1" x14ac:dyDescent="0.35">
      <c r="A50" s="7" t="s">
        <v>146</v>
      </c>
      <c r="B50" s="8">
        <v>-749</v>
      </c>
      <c r="C50" s="8">
        <v>2976</v>
      </c>
      <c r="D50" s="8">
        <v>1618</v>
      </c>
      <c r="E50" s="8">
        <v>3574</v>
      </c>
      <c r="F50" s="8">
        <v>2121</v>
      </c>
    </row>
    <row r="51" spans="1:6" ht="18" customHeight="1" thickBot="1" x14ac:dyDescent="0.35">
      <c r="A51" s="7" t="s">
        <v>147</v>
      </c>
      <c r="B51" s="8">
        <v>40792</v>
      </c>
      <c r="C51" s="8">
        <v>39573</v>
      </c>
      <c r="D51" s="8">
        <v>35277</v>
      </c>
      <c r="E51" s="8">
        <v>35599</v>
      </c>
      <c r="F51" s="8">
        <v>33194</v>
      </c>
    </row>
    <row r="52" spans="1:6" ht="18" customHeight="1" thickBot="1" x14ac:dyDescent="0.35">
      <c r="A52" s="7" t="s">
        <v>148</v>
      </c>
      <c r="B52" s="8">
        <v>1289</v>
      </c>
      <c r="C52" s="8">
        <v>1350</v>
      </c>
      <c r="D52" s="8">
        <v>1368</v>
      </c>
      <c r="E52" s="8">
        <v>1284</v>
      </c>
      <c r="F52" s="8">
        <v>1143</v>
      </c>
    </row>
    <row r="53" spans="1:6" ht="18" customHeight="1" thickBot="1" x14ac:dyDescent="0.35">
      <c r="A53" s="13" t="s">
        <v>9</v>
      </c>
      <c r="B53" s="14">
        <v>42081</v>
      </c>
      <c r="C53" s="14">
        <v>40923</v>
      </c>
      <c r="D53" s="14">
        <v>36645</v>
      </c>
      <c r="E53" s="14">
        <v>36883</v>
      </c>
      <c r="F53" s="14">
        <v>34337</v>
      </c>
    </row>
    <row r="54" spans="1:6" ht="17.399999999999999" customHeight="1" x14ac:dyDescent="0.3">
      <c r="A54" s="13" t="s">
        <v>149</v>
      </c>
      <c r="B54" s="14">
        <v>87383</v>
      </c>
      <c r="C54" s="14">
        <v>84472</v>
      </c>
      <c r="D54" s="14">
        <v>77395</v>
      </c>
      <c r="E54" s="14">
        <v>80415</v>
      </c>
      <c r="F54" s="14">
        <v>76174</v>
      </c>
    </row>
    <row r="55" spans="1:6" ht="17.399999999999999" customHeight="1" x14ac:dyDescent="0.3">
      <c r="A55" s="7"/>
      <c r="B55" s="16"/>
      <c r="C55" s="16"/>
      <c r="D55" s="16"/>
      <c r="E55" s="16"/>
      <c r="F55" s="16"/>
    </row>
    <row r="56" spans="1:6" x14ac:dyDescent="0.3">
      <c r="A56" s="15"/>
      <c r="B56" s="16"/>
      <c r="C56" s="16"/>
      <c r="D56" s="16"/>
      <c r="E56" s="16"/>
      <c r="F56" s="16"/>
    </row>
    <row r="57" spans="1:6" ht="17.399999999999999" customHeight="1" x14ac:dyDescent="0.3">
      <c r="A57" s="13" t="s">
        <v>150</v>
      </c>
      <c r="B57" s="21">
        <f>B22-B54</f>
        <v>0</v>
      </c>
      <c r="C57" s="21">
        <f>C22-C54</f>
        <v>0</v>
      </c>
      <c r="D57" s="21">
        <f>D22-D54</f>
        <v>0</v>
      </c>
      <c r="E57" s="21">
        <f>E22-E54</f>
        <v>0</v>
      </c>
      <c r="F57" s="21">
        <f>F22-F54</f>
        <v>0</v>
      </c>
    </row>
  </sheetData>
  <mergeCells count="1">
    <mergeCell ref="A1:F1"/>
  </mergeCells>
  <pageMargins left="0.25" right="0.25" top="0.5" bottom="0.5" header="0.3" footer="0.3"/>
  <pageSetup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40"/>
  <sheetViews>
    <sheetView showGridLines="0" topLeftCell="A25" workbookViewId="0">
      <selection activeCell="A27" sqref="A27"/>
    </sheetView>
  </sheetViews>
  <sheetFormatPr defaultRowHeight="14.4" x14ac:dyDescent="0.3"/>
  <cols>
    <col min="1" max="1" width="48" customWidth="1"/>
    <col min="2" max="7" width="15" customWidth="1"/>
  </cols>
  <sheetData>
    <row r="1" spans="1:7" ht="18" customHeight="1" x14ac:dyDescent="0.3">
      <c r="A1" s="42" t="s">
        <v>151</v>
      </c>
      <c r="B1" s="43"/>
      <c r="C1" s="43"/>
      <c r="D1" s="43"/>
      <c r="E1" s="43"/>
      <c r="F1" s="43"/>
      <c r="G1" s="37"/>
    </row>
    <row r="2" spans="1:7" ht="18" customHeight="1" thickBot="1" x14ac:dyDescent="0.35">
      <c r="A2" s="10" t="s">
        <v>102</v>
      </c>
      <c r="B2" s="10" t="s">
        <v>103</v>
      </c>
      <c r="C2" s="10" t="s">
        <v>104</v>
      </c>
      <c r="D2" s="10" t="s">
        <v>105</v>
      </c>
      <c r="E2" s="10" t="s">
        <v>106</v>
      </c>
      <c r="F2" s="10" t="s">
        <v>107</v>
      </c>
      <c r="G2" s="22"/>
    </row>
    <row r="3" spans="1:7" ht="18" customHeight="1" thickBot="1" x14ac:dyDescent="0.35">
      <c r="A3" s="7" t="s">
        <v>92</v>
      </c>
      <c r="B3" s="8">
        <f>'Income Statement'!B27</f>
        <v>5523</v>
      </c>
      <c r="C3" s="8">
        <f>'Income Statement'!C27</f>
        <v>-627</v>
      </c>
      <c r="D3" s="8">
        <f>'Income Statement'!D27</f>
        <v>225</v>
      </c>
      <c r="E3" s="8">
        <f>'Income Statement'!E27</f>
        <v>1298</v>
      </c>
      <c r="F3" s="8">
        <f>'Income Statement'!F27</f>
        <v>1619</v>
      </c>
      <c r="G3" s="22"/>
    </row>
    <row r="4" spans="1:7" ht="18" customHeight="1" thickBot="1" x14ac:dyDescent="0.35">
      <c r="A4" s="7" t="s">
        <v>152</v>
      </c>
      <c r="B4" s="8">
        <v>3518</v>
      </c>
      <c r="C4" s="8">
        <v>3800</v>
      </c>
      <c r="D4" s="8">
        <v>3769</v>
      </c>
      <c r="E4" s="8">
        <v>3647</v>
      </c>
      <c r="F4" s="8">
        <v>3580</v>
      </c>
      <c r="G4" s="22"/>
    </row>
    <row r="5" spans="1:7" ht="18" customHeight="1" thickBot="1" x14ac:dyDescent="0.35">
      <c r="A5" s="7" t="s">
        <v>153</v>
      </c>
      <c r="B5" s="8">
        <v>25</v>
      </c>
      <c r="C5" s="8">
        <v>27</v>
      </c>
      <c r="D5" s="8">
        <v>29</v>
      </c>
      <c r="E5" s="8">
        <v>0</v>
      </c>
      <c r="F5" s="8">
        <v>0</v>
      </c>
      <c r="G5" s="22"/>
    </row>
    <row r="6" spans="1:7" ht="18" customHeight="1" thickBot="1" x14ac:dyDescent="0.35">
      <c r="A6" s="7" t="s">
        <v>154</v>
      </c>
      <c r="B6" s="8">
        <v>-611</v>
      </c>
      <c r="C6" s="8">
        <v>-1</v>
      </c>
      <c r="D6" s="8">
        <v>-103</v>
      </c>
      <c r="E6" s="8">
        <v>-57</v>
      </c>
      <c r="F6" s="8">
        <v>-842</v>
      </c>
      <c r="G6" s="22"/>
    </row>
    <row r="7" spans="1:7" ht="18" customHeight="1" thickBot="1" x14ac:dyDescent="0.35">
      <c r="A7" s="7" t="s">
        <v>155</v>
      </c>
      <c r="B7" s="8">
        <v>144</v>
      </c>
      <c r="C7" s="8">
        <v>373</v>
      </c>
      <c r="D7" s="8">
        <v>1143</v>
      </c>
      <c r="E7" s="8">
        <v>753</v>
      </c>
      <c r="F7" s="8">
        <v>404</v>
      </c>
      <c r="G7" s="22"/>
    </row>
    <row r="8" spans="1:7" ht="18" customHeight="1" thickBot="1" x14ac:dyDescent="0.35">
      <c r="A8" s="7" t="s">
        <v>156</v>
      </c>
      <c r="B8" s="8">
        <v>0</v>
      </c>
      <c r="C8" s="8">
        <v>4499</v>
      </c>
      <c r="D8" s="8">
        <v>544</v>
      </c>
      <c r="E8" s="8">
        <v>-212</v>
      </c>
      <c r="F8" s="8">
        <v>276</v>
      </c>
      <c r="G8" s="22"/>
    </row>
    <row r="9" spans="1:7" ht="18" customHeight="1" thickBot="1" x14ac:dyDescent="0.35">
      <c r="A9" s="7" t="s">
        <v>157</v>
      </c>
      <c r="B9" s="8">
        <v>-1</v>
      </c>
      <c r="C9" s="8">
        <v>1688</v>
      </c>
      <c r="D9" s="8">
        <v>5</v>
      </c>
      <c r="E9" s="8">
        <v>398</v>
      </c>
      <c r="F9" s="8">
        <v>-230</v>
      </c>
      <c r="G9" s="22"/>
    </row>
    <row r="10" spans="1:7" ht="18" customHeight="1" thickBot="1" x14ac:dyDescent="0.35">
      <c r="A10" s="7" t="s">
        <v>158</v>
      </c>
      <c r="B10" s="8">
        <v>-1272</v>
      </c>
      <c r="C10" s="8">
        <v>219</v>
      </c>
      <c r="D10" s="8">
        <v>1443</v>
      </c>
      <c r="E10" s="8">
        <v>42</v>
      </c>
      <c r="F10" s="8">
        <v>530</v>
      </c>
      <c r="G10" s="22"/>
    </row>
    <row r="11" spans="1:7" ht="18" customHeight="1" thickBot="1" x14ac:dyDescent="0.35">
      <c r="A11" s="7" t="s">
        <v>159</v>
      </c>
      <c r="B11" s="8">
        <v>-3304</v>
      </c>
      <c r="C11" s="8">
        <v>-1991</v>
      </c>
      <c r="D11" s="8">
        <v>1896</v>
      </c>
      <c r="E11" s="8">
        <v>222</v>
      </c>
      <c r="F11" s="8">
        <v>263</v>
      </c>
      <c r="G11" s="22"/>
    </row>
    <row r="12" spans="1:7" ht="18" customHeight="1" thickBot="1" x14ac:dyDescent="0.35">
      <c r="A12" s="7" t="s">
        <v>160</v>
      </c>
      <c r="B12" s="8">
        <v>0</v>
      </c>
      <c r="C12" s="8">
        <v>451</v>
      </c>
      <c r="D12" s="8">
        <v>-1544</v>
      </c>
      <c r="E12" s="8">
        <v>96</v>
      </c>
      <c r="F12" s="8">
        <v>-736</v>
      </c>
      <c r="G12" s="22"/>
    </row>
    <row r="13" spans="1:7" ht="18" customHeight="1" thickBot="1" x14ac:dyDescent="0.35">
      <c r="A13" s="7" t="s">
        <v>161</v>
      </c>
      <c r="B13" s="8">
        <v>3223</v>
      </c>
      <c r="C13" s="8">
        <v>-729</v>
      </c>
      <c r="D13" s="8">
        <v>704</v>
      </c>
      <c r="E13" s="8">
        <v>511</v>
      </c>
      <c r="F13" s="8">
        <v>564</v>
      </c>
      <c r="G13" s="22"/>
    </row>
    <row r="14" spans="1:7" ht="18" customHeight="1" thickBot="1" x14ac:dyDescent="0.35">
      <c r="A14" s="13" t="s">
        <v>42</v>
      </c>
      <c r="B14" s="14">
        <v>7245</v>
      </c>
      <c r="C14" s="14">
        <v>7709</v>
      </c>
      <c r="D14" s="14">
        <v>8111</v>
      </c>
      <c r="E14" s="14">
        <v>6946</v>
      </c>
      <c r="F14" s="14">
        <v>5610</v>
      </c>
      <c r="G14" s="22"/>
    </row>
    <row r="15" spans="1:7" ht="17.399999999999999" customHeight="1" x14ac:dyDescent="0.3">
      <c r="A15" s="7" t="s">
        <v>162</v>
      </c>
      <c r="B15" s="23">
        <v>0.33839999999999998</v>
      </c>
      <c r="C15" s="23">
        <v>6.4000000000000001E-2</v>
      </c>
      <c r="D15" s="23">
        <v>5.21E-2</v>
      </c>
      <c r="E15" s="24">
        <v>-0.14360000000000001</v>
      </c>
      <c r="F15" s="24">
        <v>-0.1923</v>
      </c>
      <c r="G15" s="22"/>
    </row>
    <row r="16" spans="1:7" x14ac:dyDescent="0.3">
      <c r="A16" s="15"/>
      <c r="B16" s="16"/>
      <c r="C16" s="16"/>
      <c r="D16" s="16"/>
      <c r="E16" s="16"/>
      <c r="F16" s="16"/>
      <c r="G16" s="22"/>
    </row>
    <row r="17" spans="1:7" ht="17.399999999999999" customHeight="1" x14ac:dyDescent="0.3">
      <c r="A17" s="18" t="s">
        <v>163</v>
      </c>
      <c r="B17" s="19"/>
      <c r="C17" s="19"/>
      <c r="D17" s="19"/>
      <c r="E17" s="19"/>
      <c r="F17" s="19"/>
      <c r="G17" s="44"/>
    </row>
    <row r="18" spans="1:7" ht="18" customHeight="1" thickBot="1" x14ac:dyDescent="0.35">
      <c r="A18" s="10" t="s">
        <v>102</v>
      </c>
      <c r="B18" s="20" t="s">
        <v>103</v>
      </c>
      <c r="C18" s="20" t="s">
        <v>104</v>
      </c>
      <c r="D18" s="20" t="s">
        <v>105</v>
      </c>
      <c r="E18" s="20" t="s">
        <v>106</v>
      </c>
      <c r="F18" s="20" t="s">
        <v>107</v>
      </c>
      <c r="G18" s="22"/>
    </row>
    <row r="19" spans="1:7" ht="18" customHeight="1" thickBot="1" x14ac:dyDescent="0.35">
      <c r="A19" s="7" t="s">
        <v>164</v>
      </c>
      <c r="B19" s="8">
        <v>-3532</v>
      </c>
      <c r="C19" s="8">
        <v>-4375</v>
      </c>
      <c r="D19" s="8">
        <v>-5395</v>
      </c>
      <c r="E19" s="8">
        <v>-6198</v>
      </c>
      <c r="F19" s="8">
        <v>-4267</v>
      </c>
      <c r="G19" s="22"/>
    </row>
    <row r="20" spans="1:7" ht="18" customHeight="1" thickBot="1" x14ac:dyDescent="0.35">
      <c r="A20" s="7" t="s">
        <v>165</v>
      </c>
      <c r="B20" s="8">
        <v>-600</v>
      </c>
      <c r="C20" s="8">
        <v>-13</v>
      </c>
      <c r="D20" s="8">
        <v>-5</v>
      </c>
      <c r="E20" s="8">
        <v>-202</v>
      </c>
      <c r="F20" s="8">
        <v>-1</v>
      </c>
      <c r="G20" s="22"/>
    </row>
    <row r="21" spans="1:7" ht="18" customHeight="1" thickBot="1" x14ac:dyDescent="0.35">
      <c r="A21" s="7" t="s">
        <v>166</v>
      </c>
      <c r="B21" s="8">
        <v>1030</v>
      </c>
      <c r="C21" s="8">
        <v>691</v>
      </c>
      <c r="D21" s="8">
        <v>32</v>
      </c>
      <c r="E21" s="8">
        <v>75</v>
      </c>
      <c r="F21" s="8">
        <v>871</v>
      </c>
      <c r="G21" s="22"/>
    </row>
    <row r="22" spans="1:7" ht="18" customHeight="1" thickBot="1" x14ac:dyDescent="0.35">
      <c r="A22" s="7" t="s">
        <v>167</v>
      </c>
      <c r="B22" s="8">
        <v>-994</v>
      </c>
      <c r="C22" s="8">
        <v>-1273</v>
      </c>
      <c r="D22" s="8">
        <v>-1063</v>
      </c>
      <c r="E22" s="8">
        <v>436</v>
      </c>
      <c r="F22" s="8">
        <v>-1121</v>
      </c>
      <c r="G22" s="22"/>
    </row>
    <row r="23" spans="1:7" ht="18" customHeight="1" thickBot="1" x14ac:dyDescent="0.35">
      <c r="A23" s="7" t="s">
        <v>168</v>
      </c>
      <c r="B23" s="8">
        <v>1474</v>
      </c>
      <c r="C23" s="8">
        <v>1192</v>
      </c>
      <c r="D23" s="8">
        <v>1440</v>
      </c>
      <c r="E23" s="8">
        <v>808</v>
      </c>
      <c r="F23" s="8">
        <v>1310</v>
      </c>
      <c r="G23" s="22"/>
    </row>
    <row r="24" spans="1:7" ht="17.399999999999999" customHeight="1" x14ac:dyDescent="0.3">
      <c r="A24" s="13" t="s">
        <v>43</v>
      </c>
      <c r="B24" s="14">
        <v>-2622</v>
      </c>
      <c r="C24" s="14">
        <v>-3778</v>
      </c>
      <c r="D24" s="14">
        <v>-4991</v>
      </c>
      <c r="E24" s="14">
        <v>-5081</v>
      </c>
      <c r="F24" s="14">
        <v>-3208</v>
      </c>
      <c r="G24" s="22"/>
    </row>
    <row r="25" spans="1:7" x14ac:dyDescent="0.3">
      <c r="A25" s="15"/>
      <c r="B25" s="16"/>
      <c r="C25" s="16"/>
      <c r="D25" s="16"/>
      <c r="E25" s="16"/>
      <c r="F25" s="16"/>
      <c r="G25" s="22"/>
    </row>
    <row r="26" spans="1:7" ht="17.399999999999999" customHeight="1" x14ac:dyDescent="0.3">
      <c r="A26" s="18" t="s">
        <v>169</v>
      </c>
      <c r="B26" s="19"/>
      <c r="C26" s="19"/>
      <c r="D26" s="19"/>
      <c r="E26" s="19"/>
      <c r="F26" s="19"/>
      <c r="G26" s="44"/>
    </row>
    <row r="27" spans="1:7" ht="18" customHeight="1" thickBot="1" x14ac:dyDescent="0.35">
      <c r="A27" s="10" t="s">
        <v>102</v>
      </c>
      <c r="B27" s="20" t="s">
        <v>103</v>
      </c>
      <c r="C27" s="20" t="s">
        <v>104</v>
      </c>
      <c r="D27" s="20" t="s">
        <v>105</v>
      </c>
      <c r="E27" s="20" t="s">
        <v>106</v>
      </c>
      <c r="F27" s="20" t="s">
        <v>107</v>
      </c>
      <c r="G27" s="22"/>
    </row>
    <row r="28" spans="1:7" ht="18" customHeight="1" thickBot="1" x14ac:dyDescent="0.35">
      <c r="A28" s="7" t="s">
        <v>170</v>
      </c>
      <c r="B28" s="8">
        <v>7627</v>
      </c>
      <c r="C28" s="8">
        <v>10896</v>
      </c>
      <c r="D28" s="8">
        <v>9503</v>
      </c>
      <c r="E28" s="8">
        <v>6362</v>
      </c>
      <c r="F28" s="8">
        <v>6394</v>
      </c>
      <c r="G28" s="22"/>
    </row>
    <row r="29" spans="1:7" ht="18" customHeight="1" thickBot="1" x14ac:dyDescent="0.35">
      <c r="A29" s="7" t="s">
        <v>171</v>
      </c>
      <c r="B29" s="8">
        <v>-10772</v>
      </c>
      <c r="C29" s="8">
        <v>-10330</v>
      </c>
      <c r="D29" s="8">
        <v>-9244</v>
      </c>
      <c r="E29" s="8">
        <v>-4579</v>
      </c>
      <c r="F29" s="8">
        <v>-6369</v>
      </c>
      <c r="G29" s="22"/>
    </row>
    <row r="30" spans="1:7" ht="18" customHeight="1" thickBot="1" x14ac:dyDescent="0.35">
      <c r="A30" s="13" t="s">
        <v>172</v>
      </c>
      <c r="B30" s="14">
        <v>-3145</v>
      </c>
      <c r="C30" s="14">
        <v>566</v>
      </c>
      <c r="D30" s="14">
        <v>259</v>
      </c>
      <c r="E30" s="14">
        <v>1783</v>
      </c>
      <c r="F30" s="14">
        <v>25</v>
      </c>
      <c r="G30" s="22"/>
    </row>
    <row r="31" spans="1:7" ht="18" customHeight="1" thickBot="1" x14ac:dyDescent="0.35">
      <c r="A31" s="7" t="s">
        <v>173</v>
      </c>
      <c r="B31" s="8">
        <v>0</v>
      </c>
      <c r="C31" s="8">
        <v>-1331</v>
      </c>
      <c r="D31" s="8">
        <v>-70</v>
      </c>
      <c r="E31" s="8">
        <v>-46</v>
      </c>
      <c r="F31" s="8">
        <v>-355</v>
      </c>
      <c r="G31" s="22"/>
    </row>
    <row r="32" spans="1:7" ht="18" customHeight="1" thickBot="1" x14ac:dyDescent="0.35">
      <c r="A32" s="7" t="s">
        <v>174</v>
      </c>
      <c r="B32" s="8">
        <v>-3031</v>
      </c>
      <c r="C32" s="8">
        <v>-3072</v>
      </c>
      <c r="D32" s="8">
        <v>-3034</v>
      </c>
      <c r="E32" s="8">
        <v>-3035</v>
      </c>
      <c r="F32" s="8">
        <v>-2086</v>
      </c>
      <c r="G32" s="22"/>
    </row>
    <row r="33" spans="1:7" ht="18" customHeight="1" thickBot="1" x14ac:dyDescent="0.35">
      <c r="A33" s="7" t="s">
        <v>175</v>
      </c>
      <c r="B33" s="8">
        <v>-281</v>
      </c>
      <c r="C33" s="8">
        <v>-176</v>
      </c>
      <c r="D33" s="8">
        <v>-60</v>
      </c>
      <c r="E33" s="8">
        <v>-249</v>
      </c>
      <c r="F33" s="8">
        <v>0</v>
      </c>
      <c r="G33" s="22"/>
    </row>
    <row r="34" spans="1:7" ht="17.399999999999999" customHeight="1" x14ac:dyDescent="0.3">
      <c r="A34" s="13" t="s">
        <v>44</v>
      </c>
      <c r="B34" s="14">
        <v>-6457</v>
      </c>
      <c r="C34" s="14">
        <v>-4013</v>
      </c>
      <c r="D34" s="14">
        <v>-2905</v>
      </c>
      <c r="E34" s="14">
        <v>-1547</v>
      </c>
      <c r="F34" s="14">
        <v>-2416</v>
      </c>
      <c r="G34" s="22"/>
    </row>
    <row r="35" spans="1:7" x14ac:dyDescent="0.3">
      <c r="A35" s="15"/>
      <c r="B35" s="16"/>
      <c r="C35" s="16"/>
      <c r="D35" s="16"/>
      <c r="E35" s="16"/>
      <c r="F35" s="16"/>
      <c r="G35" s="22"/>
    </row>
    <row r="36" spans="1:7" x14ac:dyDescent="0.3">
      <c r="A36" s="15"/>
      <c r="B36" s="16"/>
      <c r="C36" s="16"/>
      <c r="D36" s="16"/>
      <c r="E36" s="16"/>
      <c r="F36" s="16"/>
      <c r="G36" s="22"/>
    </row>
    <row r="37" spans="1:7" ht="18" customHeight="1" thickBot="1" x14ac:dyDescent="0.35">
      <c r="A37" s="10" t="s">
        <v>102</v>
      </c>
      <c r="B37" s="20" t="s">
        <v>103</v>
      </c>
      <c r="C37" s="20" t="s">
        <v>104</v>
      </c>
      <c r="D37" s="20" t="s">
        <v>105</v>
      </c>
      <c r="E37" s="20" t="s">
        <v>106</v>
      </c>
      <c r="F37" s="20" t="s">
        <v>107</v>
      </c>
      <c r="G37" s="22"/>
    </row>
    <row r="38" spans="1:7" ht="18" customHeight="1" thickBot="1" x14ac:dyDescent="0.35">
      <c r="A38" s="7" t="s">
        <v>176</v>
      </c>
      <c r="B38" s="8">
        <v>131</v>
      </c>
      <c r="C38" s="8">
        <v>-25</v>
      </c>
      <c r="D38" s="8">
        <v>-106</v>
      </c>
      <c r="E38" s="8">
        <v>-21</v>
      </c>
      <c r="F38" s="8">
        <v>-88</v>
      </c>
      <c r="G38" s="22"/>
    </row>
    <row r="39" spans="1:7" ht="18" customHeight="1" thickBot="1" x14ac:dyDescent="0.35">
      <c r="A39" s="7" t="s">
        <v>177</v>
      </c>
      <c r="B39" s="8">
        <v>-8</v>
      </c>
      <c r="C39" s="8">
        <v>-1</v>
      </c>
      <c r="D39" s="8">
        <v>0</v>
      </c>
      <c r="E39" s="8">
        <v>0</v>
      </c>
      <c r="F39" s="8">
        <v>-1</v>
      </c>
      <c r="G39" s="22"/>
    </row>
    <row r="40" spans="1:7" ht="17.399999999999999" customHeight="1" x14ac:dyDescent="0.3">
      <c r="A40" s="13" t="s">
        <v>52</v>
      </c>
      <c r="B40" s="14">
        <v>-1711</v>
      </c>
      <c r="C40" s="14">
        <v>-108</v>
      </c>
      <c r="D40" s="14">
        <v>109</v>
      </c>
      <c r="E40" s="14">
        <v>297</v>
      </c>
      <c r="F40" s="14">
        <v>-103</v>
      </c>
      <c r="G40" s="22"/>
    </row>
  </sheetData>
  <mergeCells count="1">
    <mergeCell ref="A1:G1"/>
  </mergeCells>
  <pageMargins left="0.25" right="0.25" top="0.5" bottom="0.5" header="0.3" footer="0.3"/>
  <pageSetup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75"/>
  <sheetViews>
    <sheetView showGridLines="0" tabSelected="1" topLeftCell="A28" workbookViewId="0">
      <selection activeCell="A34" sqref="A34:F34"/>
    </sheetView>
  </sheetViews>
  <sheetFormatPr defaultRowHeight="14.4" x14ac:dyDescent="0.3"/>
  <cols>
    <col min="1" max="1" width="48" customWidth="1"/>
    <col min="2" max="6" width="15" customWidth="1"/>
  </cols>
  <sheetData>
    <row r="1" spans="1:6" ht="19.95" customHeight="1" x14ac:dyDescent="0.35">
      <c r="A1" s="38" t="s">
        <v>0</v>
      </c>
      <c r="B1" s="37"/>
      <c r="C1" s="37"/>
      <c r="D1" s="37"/>
      <c r="E1" s="37"/>
      <c r="F1" s="37"/>
    </row>
    <row r="2" spans="1:6" ht="19.95" customHeight="1" x14ac:dyDescent="0.3">
      <c r="A2" s="1"/>
      <c r="B2" s="22"/>
      <c r="C2" s="22"/>
      <c r="D2" s="22"/>
      <c r="E2" s="22"/>
      <c r="F2" s="22"/>
    </row>
    <row r="3" spans="1:6" ht="19.95" customHeight="1" x14ac:dyDescent="0.3">
      <c r="A3" s="25" t="s">
        <v>1</v>
      </c>
      <c r="B3" s="26" t="s">
        <v>2</v>
      </c>
      <c r="C3" s="26" t="s">
        <v>3</v>
      </c>
      <c r="D3" s="26" t="s">
        <v>4</v>
      </c>
      <c r="E3" s="26" t="s">
        <v>5</v>
      </c>
      <c r="F3" s="26" t="s">
        <v>6</v>
      </c>
    </row>
    <row r="4" spans="1:6" ht="19.95" customHeight="1" x14ac:dyDescent="0.3">
      <c r="A4" s="1" t="s">
        <v>7</v>
      </c>
      <c r="B4" s="27">
        <f>'Balance Sheet'!B22</f>
        <v>87383</v>
      </c>
      <c r="C4" s="27">
        <f>'Balance Sheet'!C22</f>
        <v>84472</v>
      </c>
      <c r="D4" s="27">
        <f>'Balance Sheet'!D22</f>
        <v>77395</v>
      </c>
      <c r="E4" s="27">
        <f>'Balance Sheet'!E22</f>
        <v>80415</v>
      </c>
      <c r="F4" s="27">
        <f>'Balance Sheet'!F22</f>
        <v>76174</v>
      </c>
    </row>
    <row r="5" spans="1:6" ht="19.95" customHeight="1" x14ac:dyDescent="0.3">
      <c r="A5" s="1" t="s">
        <v>8</v>
      </c>
      <c r="B5" s="27"/>
      <c r="C5" s="27">
        <f>AVERAGE('Balance Sheet'!B22,'Balance Sheet'!C22)</f>
        <v>85927.5</v>
      </c>
      <c r="D5" s="27">
        <f>AVERAGE('Balance Sheet'!C22,'Balance Sheet'!D22)</f>
        <v>80933.5</v>
      </c>
      <c r="E5" s="27">
        <f>AVERAGE('Balance Sheet'!D22,'Balance Sheet'!E22)</f>
        <v>78905</v>
      </c>
      <c r="F5" s="27">
        <f>AVERAGE('Balance Sheet'!E22,'Balance Sheet'!F22)</f>
        <v>78294.5</v>
      </c>
    </row>
    <row r="6" spans="1:6" ht="19.95" customHeight="1" x14ac:dyDescent="0.3">
      <c r="A6" s="1" t="s">
        <v>9</v>
      </c>
      <c r="B6" s="27">
        <f>'Balance Sheet'!B53</f>
        <v>42081</v>
      </c>
      <c r="C6" s="27">
        <f>'Balance Sheet'!C53</f>
        <v>40923</v>
      </c>
      <c r="D6" s="27">
        <f>'Balance Sheet'!D53</f>
        <v>36645</v>
      </c>
      <c r="E6" s="27">
        <f>'Balance Sheet'!E53</f>
        <v>36883</v>
      </c>
      <c r="F6" s="27">
        <f>'Balance Sheet'!F53</f>
        <v>34337</v>
      </c>
    </row>
    <row r="7" spans="1:6" ht="19.95" customHeight="1" x14ac:dyDescent="0.3">
      <c r="A7" s="1" t="s">
        <v>10</v>
      </c>
      <c r="B7" s="27"/>
      <c r="C7" s="27">
        <f>AVERAGE('Balance Sheet'!B53,'Balance Sheet'!C53)</f>
        <v>41502</v>
      </c>
      <c r="D7" s="27">
        <f>AVERAGE('Balance Sheet'!C53,'Balance Sheet'!D53)</f>
        <v>38784</v>
      </c>
      <c r="E7" s="27">
        <f>AVERAGE('Balance Sheet'!D53,'Balance Sheet'!E53)</f>
        <v>36764</v>
      </c>
      <c r="F7" s="27">
        <f>AVERAGE('Balance Sheet'!E53,'Balance Sheet'!F53)</f>
        <v>35610</v>
      </c>
    </row>
    <row r="8" spans="1:6" ht="19.95" customHeight="1" x14ac:dyDescent="0.3">
      <c r="A8" s="1" t="s">
        <v>11</v>
      </c>
      <c r="B8" s="27"/>
      <c r="C8" s="27">
        <f>AVERAGE('Balance Sheet'!B8,'Balance Sheet'!C8)</f>
        <v>12001.5</v>
      </c>
      <c r="D8" s="27">
        <f>AVERAGE('Balance Sheet'!C8,'Balance Sheet'!D8)</f>
        <v>11237</v>
      </c>
      <c r="E8" s="27">
        <f>AVERAGE('Balance Sheet'!D8,'Balance Sheet'!E8)</f>
        <v>10405</v>
      </c>
      <c r="F8" s="27">
        <f>AVERAGE('Balance Sheet'!E8,'Balance Sheet'!F8)</f>
        <v>9360</v>
      </c>
    </row>
    <row r="9" spans="1:6" ht="19.95" customHeight="1" x14ac:dyDescent="0.3">
      <c r="A9" s="1" t="s">
        <v>12</v>
      </c>
      <c r="B9" s="27"/>
      <c r="C9" s="27">
        <f>AVERAGE('Balance Sheet'!B11,'Balance Sheet'!C11)</f>
        <v>14948</v>
      </c>
      <c r="D9" s="27">
        <f>AVERAGE('Balance Sheet'!C11,'Balance Sheet'!D11)</f>
        <v>14952</v>
      </c>
      <c r="E9" s="27">
        <f>AVERAGE('Balance Sheet'!D11,'Balance Sheet'!E11)</f>
        <v>13778.5</v>
      </c>
      <c r="F9" s="27">
        <f>AVERAGE('Balance Sheet'!E11,'Balance Sheet'!F11)</f>
        <v>12924.5</v>
      </c>
    </row>
    <row r="10" spans="1:6" ht="19.95" customHeight="1" x14ac:dyDescent="0.3">
      <c r="A10" s="1" t="s">
        <v>13</v>
      </c>
      <c r="B10" s="27"/>
      <c r="C10" s="27">
        <f>AVERAGE('Balance Sheet'!B28,'Balance Sheet'!C28)</f>
        <v>8130</v>
      </c>
      <c r="D10" s="27">
        <f>AVERAGE('Balance Sheet'!C28,'Balance Sheet'!D28)</f>
        <v>7587.5</v>
      </c>
      <c r="E10" s="27">
        <f>AVERAGE('Balance Sheet'!D28,'Balance Sheet'!E28)</f>
        <v>6832</v>
      </c>
      <c r="F10" s="27">
        <f>AVERAGE('Balance Sheet'!E28,'Balance Sheet'!F28)</f>
        <v>6203.5</v>
      </c>
    </row>
    <row r="11" spans="1:6" ht="19.95" customHeight="1" x14ac:dyDescent="0.3">
      <c r="A11" s="15" t="s">
        <v>14</v>
      </c>
      <c r="B11" s="28">
        <f>'Balance Sheet'!B44</f>
        <v>17724</v>
      </c>
      <c r="C11" s="28">
        <f>'Balance Sheet'!C44</f>
        <v>19461</v>
      </c>
      <c r="D11" s="28">
        <f>'Balance Sheet'!D44</f>
        <v>19698</v>
      </c>
      <c r="E11" s="28">
        <f>'Balance Sheet'!E44</f>
        <v>22332</v>
      </c>
      <c r="F11" s="28">
        <f>'Balance Sheet'!F44</f>
        <v>21655</v>
      </c>
    </row>
    <row r="12" spans="1:6" ht="19.95" customHeight="1" x14ac:dyDescent="0.3">
      <c r="A12" s="15" t="s">
        <v>15</v>
      </c>
      <c r="B12" s="28">
        <f>'Income Statement'!B10+'Cash Flow'!B4</f>
        <v>10985</v>
      </c>
      <c r="C12" s="28">
        <f>'Income Statement'!C10+'Cash Flow'!C4</f>
        <v>10656</v>
      </c>
      <c r="D12" s="28">
        <f>'Income Statement'!D10+'Cash Flow'!D4</f>
        <v>6610</v>
      </c>
      <c r="E12" s="28">
        <f>'Income Statement'!E10+'Cash Flow'!E4</f>
        <v>6131</v>
      </c>
      <c r="F12" s="28">
        <f>'Income Statement'!F10+'Cash Flow'!F4</f>
        <v>6053</v>
      </c>
    </row>
    <row r="13" spans="1:6" ht="19.95" customHeight="1" x14ac:dyDescent="0.3">
      <c r="A13" s="29"/>
      <c r="B13" s="22"/>
      <c r="C13" s="22"/>
      <c r="D13" s="22"/>
      <c r="E13" s="22"/>
      <c r="F13" s="22"/>
    </row>
    <row r="14" spans="1:6" ht="19.95" customHeight="1" x14ac:dyDescent="0.3">
      <c r="A14" s="25" t="s">
        <v>16</v>
      </c>
      <c r="B14" s="26"/>
      <c r="C14" s="26"/>
      <c r="D14" s="26"/>
      <c r="E14" s="26"/>
      <c r="F14" s="26"/>
    </row>
    <row r="15" spans="1:6" ht="19.95" customHeight="1" x14ac:dyDescent="0.3">
      <c r="A15" s="30" t="s">
        <v>17</v>
      </c>
      <c r="B15" s="30" t="s">
        <v>2</v>
      </c>
      <c r="C15" s="30" t="s">
        <v>3</v>
      </c>
      <c r="D15" s="30" t="s">
        <v>4</v>
      </c>
      <c r="E15" s="30" t="s">
        <v>5</v>
      </c>
      <c r="F15" s="30" t="s">
        <v>6</v>
      </c>
    </row>
    <row r="16" spans="1:6" ht="19.95" customHeight="1" x14ac:dyDescent="0.3">
      <c r="A16" s="31" t="s">
        <v>18</v>
      </c>
      <c r="B16" s="28">
        <f>'Balance Sheet'!B14-'Balance Sheet'!B36</f>
        <v>14970</v>
      </c>
      <c r="C16" s="28">
        <f>'Balance Sheet'!C14-'Balance Sheet'!C36</f>
        <v>16982</v>
      </c>
      <c r="D16" s="28">
        <f>'Balance Sheet'!D14-'Balance Sheet'!D36</f>
        <v>15601</v>
      </c>
      <c r="E16" s="28">
        <f>'Balance Sheet'!E14-'Balance Sheet'!E36</f>
        <v>14193</v>
      </c>
      <c r="F16" s="28">
        <f>'Balance Sheet'!F14-'Balance Sheet'!F36</f>
        <v>15273</v>
      </c>
    </row>
    <row r="17" spans="1:6" ht="19.95" customHeight="1" x14ac:dyDescent="0.3">
      <c r="A17" s="15" t="s">
        <v>19</v>
      </c>
      <c r="B17" s="28"/>
      <c r="C17" s="28">
        <f>C16-B16</f>
        <v>2012</v>
      </c>
      <c r="D17" s="28">
        <f>D16-C16</f>
        <v>-1381</v>
      </c>
      <c r="E17" s="28">
        <f>E16-D16</f>
        <v>-1408</v>
      </c>
      <c r="F17" s="28">
        <f>F16-E16</f>
        <v>1080</v>
      </c>
    </row>
    <row r="18" spans="1:6" ht="70.05" customHeight="1" x14ac:dyDescent="0.3">
      <c r="A18" s="36" t="s">
        <v>20</v>
      </c>
      <c r="B18" s="37"/>
      <c r="C18" s="37"/>
      <c r="D18" s="37"/>
      <c r="E18" s="37"/>
      <c r="F18" s="37"/>
    </row>
    <row r="19" spans="1:6" ht="19.95" customHeight="1" x14ac:dyDescent="0.3">
      <c r="A19" s="1"/>
      <c r="B19" s="32"/>
      <c r="C19" s="32"/>
      <c r="D19" s="32"/>
      <c r="E19" s="32"/>
      <c r="F19" s="32"/>
    </row>
    <row r="20" spans="1:6" ht="19.95" customHeight="1" x14ac:dyDescent="0.3">
      <c r="A20" s="25" t="s">
        <v>21</v>
      </c>
      <c r="B20" s="26"/>
      <c r="C20" s="26"/>
      <c r="D20" s="26"/>
      <c r="E20" s="26"/>
      <c r="F20" s="26"/>
    </row>
    <row r="21" spans="1:6" ht="19.95" customHeight="1" x14ac:dyDescent="0.3">
      <c r="A21" s="30" t="s">
        <v>17</v>
      </c>
      <c r="B21" s="30" t="s">
        <v>2</v>
      </c>
      <c r="C21" s="30" t="s">
        <v>3</v>
      </c>
      <c r="D21" s="30" t="s">
        <v>4</v>
      </c>
      <c r="E21" s="30" t="s">
        <v>5</v>
      </c>
      <c r="F21" s="30" t="s">
        <v>6</v>
      </c>
    </row>
    <row r="22" spans="1:6" ht="19.95" customHeight="1" x14ac:dyDescent="0.3">
      <c r="A22" s="31" t="s">
        <v>22</v>
      </c>
      <c r="B22" s="33">
        <f>'Balance Sheet'!B14/'Balance Sheet'!B36</f>
        <v>1.7454808027488671</v>
      </c>
      <c r="C22" s="33">
        <f>'Balance Sheet'!C14/'Balance Sheet'!C36</f>
        <v>1.8308219178082192</v>
      </c>
      <c r="D22" s="33">
        <f>'Balance Sheet'!D14/'Balance Sheet'!D36</f>
        <v>1.9829878394556109</v>
      </c>
      <c r="E22" s="33">
        <f>'Balance Sheet'!E14/'Balance Sheet'!E36</f>
        <v>1.832971418510476</v>
      </c>
      <c r="F22" s="33">
        <f>'Balance Sheet'!F14/'Balance Sheet'!F36</f>
        <v>1.9306562671378953</v>
      </c>
    </row>
    <row r="23" spans="1:6" ht="19.95" customHeight="1" x14ac:dyDescent="0.3">
      <c r="A23" s="31" t="s">
        <v>23</v>
      </c>
      <c r="B23" s="33">
        <f>('Balance Sheet'!B14-'Balance Sheet'!B11)/'Balance Sheet'!B36</f>
        <v>1.0548777451322144</v>
      </c>
      <c r="C23" s="33">
        <f>('Balance Sheet'!C14-'Balance Sheet'!C11)/'Balance Sheet'!C36</f>
        <v>1.0466731898238748</v>
      </c>
      <c r="D23" s="33">
        <f>('Balance Sheet'!D14-'Balance Sheet'!D11)/'Balance Sheet'!D36</f>
        <v>1.1086888034780418</v>
      </c>
      <c r="E23" s="33">
        <f>('Balance Sheet'!E14-'Balance Sheet'!E11)/'Balance Sheet'!E36</f>
        <v>1.0300487117788604</v>
      </c>
      <c r="F23" s="33">
        <f>('Balance Sheet'!F14-'Balance Sheet'!F11)/'Balance Sheet'!F36</f>
        <v>1.1892023642678691</v>
      </c>
    </row>
    <row r="24" spans="1:6" ht="19.95" customHeight="1" x14ac:dyDescent="0.3">
      <c r="A24" s="31" t="s">
        <v>24</v>
      </c>
      <c r="B24" s="33">
        <f>'Balance Sheet'!B3/'Balance Sheet'!B36</f>
        <v>0.13067078332752352</v>
      </c>
      <c r="C24" s="33">
        <f>'Balance Sheet'!C3/'Balance Sheet'!C36</f>
        <v>0.12309197651663405</v>
      </c>
      <c r="D24" s="33">
        <f>'Balance Sheet'!D3/'Balance Sheet'!D36</f>
        <v>0.16533299729065593</v>
      </c>
      <c r="E24" s="33">
        <f>'Balance Sheet'!E3/'Balance Sheet'!E36</f>
        <v>0.17101942602265391</v>
      </c>
      <c r="F24" s="33">
        <f>'Balance Sheet'!F3/'Balance Sheet'!F36</f>
        <v>0.16269575284869905</v>
      </c>
    </row>
    <row r="25" spans="1:6" ht="70.05" customHeight="1" x14ac:dyDescent="0.3">
      <c r="A25" s="36" t="s">
        <v>25</v>
      </c>
      <c r="B25" s="37"/>
      <c r="C25" s="37"/>
      <c r="D25" s="37"/>
      <c r="E25" s="37"/>
      <c r="F25" s="37"/>
    </row>
    <row r="26" spans="1:6" ht="19.95" customHeight="1" x14ac:dyDescent="0.3">
      <c r="A26" s="1"/>
      <c r="B26" s="22"/>
      <c r="C26" s="22"/>
      <c r="D26" s="22"/>
      <c r="E26" s="22"/>
      <c r="F26" s="22"/>
    </row>
    <row r="27" spans="1:6" ht="19.95" customHeight="1" x14ac:dyDescent="0.3">
      <c r="A27" s="25" t="s">
        <v>26</v>
      </c>
      <c r="B27" s="26"/>
      <c r="C27" s="26"/>
      <c r="D27" s="26"/>
      <c r="E27" s="26"/>
      <c r="F27" s="26"/>
    </row>
    <row r="28" spans="1:6" ht="19.95" customHeight="1" x14ac:dyDescent="0.3">
      <c r="A28" s="30" t="s">
        <v>17</v>
      </c>
      <c r="B28" s="30" t="s">
        <v>2</v>
      </c>
      <c r="C28" s="30" t="s">
        <v>3</v>
      </c>
      <c r="D28" s="30" t="s">
        <v>4</v>
      </c>
      <c r="E28" s="30" t="s">
        <v>5</v>
      </c>
      <c r="F28" s="30" t="s">
        <v>6</v>
      </c>
    </row>
    <row r="29" spans="1:6" ht="19.95" customHeight="1" x14ac:dyDescent="0.3">
      <c r="A29" s="31" t="s">
        <v>27</v>
      </c>
      <c r="B29" s="34">
        <f>'Income Statement'!B5/'Income Statement'!B2</f>
        <v>0.2481869767678567</v>
      </c>
      <c r="C29" s="34">
        <f>'Income Statement'!C5/'Income Statement'!C2</f>
        <v>0.23623850584584377</v>
      </c>
      <c r="D29" s="34">
        <f>'Income Statement'!D5/'Income Statement'!D2</f>
        <v>0.23796116223041422</v>
      </c>
      <c r="E29" s="34">
        <f>'Income Statement'!E5/'Income Statement'!E2</f>
        <v>0.24265998307401862</v>
      </c>
      <c r="F29" s="34">
        <f>'Income Statement'!F5/'Income Statement'!F2</f>
        <v>0.23685401545501786</v>
      </c>
    </row>
    <row r="30" spans="1:6" ht="19.95" customHeight="1" x14ac:dyDescent="0.3">
      <c r="A30" s="31" t="s">
        <v>28</v>
      </c>
      <c r="B30" s="34">
        <f>'Income Statement'!B10/'Income Statement'!B2</f>
        <v>9.5002417364309519E-2</v>
      </c>
      <c r="C30" s="34">
        <f>'Income Statement'!C10/'Income Statement'!C2</f>
        <v>7.8509510231658017E-2</v>
      </c>
      <c r="D30" s="34">
        <f>'Income Statement'!D10/'Income Statement'!D2</f>
        <v>4.1232475109575922E-2</v>
      </c>
      <c r="E30" s="34">
        <f>'Income Statement'!E10/'Income Statement'!E2</f>
        <v>4.0427055530238919E-2</v>
      </c>
      <c r="F30" s="34">
        <f>'Income Statement'!F10/'Income Statement'!F2</f>
        <v>4.1453643327689964E-2</v>
      </c>
    </row>
    <row r="31" spans="1:6" ht="19.95" customHeight="1" x14ac:dyDescent="0.3">
      <c r="A31" s="31" t="s">
        <v>29</v>
      </c>
      <c r="B31" s="34">
        <f>'Income Statement'!B27/'Income Statement'!B2</f>
        <v>7.0268963586859717E-2</v>
      </c>
      <c r="C31" s="34">
        <f>'Income Statement'!C27/'Income Statement'!C2</f>
        <v>-7.1799099934728092E-3</v>
      </c>
      <c r="D31" s="34">
        <f>'Income Statement'!D27/'Income Statement'!D2</f>
        <v>3.265507532437375E-3</v>
      </c>
      <c r="E31" s="34">
        <f>'Income Statement'!E27/'Income Statement'!E2</f>
        <v>2.112492676258056E-2</v>
      </c>
      <c r="F31" s="34">
        <f>'Income Statement'!F27/'Income Statement'!F2</f>
        <v>2.7138474948455338E-2</v>
      </c>
    </row>
    <row r="32" spans="1:6" ht="19.95" customHeight="1" x14ac:dyDescent="0.3">
      <c r="A32" s="31" t="s">
        <v>30</v>
      </c>
      <c r="B32" s="34"/>
      <c r="C32" s="34">
        <f>'Income Statement'!C27/C5</f>
        <v>-7.2968490878938643E-3</v>
      </c>
      <c r="D32" s="34">
        <f>'Income Statement'!D27/D5</f>
        <v>2.7800601728579636E-3</v>
      </c>
      <c r="E32" s="34">
        <f>'Income Statement'!E27/E5</f>
        <v>1.6450161586718207E-2</v>
      </c>
      <c r="F32" s="34">
        <f>'Income Statement'!F27/F5</f>
        <v>2.0678336281603434E-2</v>
      </c>
    </row>
    <row r="33" spans="1:6" ht="19.95" customHeight="1" x14ac:dyDescent="0.3">
      <c r="A33" s="31" t="s">
        <v>31</v>
      </c>
      <c r="B33" s="34"/>
      <c r="C33" s="34">
        <f>'Income Statement'!C27/C7</f>
        <v>-1.5107705652739627E-2</v>
      </c>
      <c r="D33" s="34">
        <f>'Income Statement'!D27/D7</f>
        <v>5.8013613861386138E-3</v>
      </c>
      <c r="E33" s="34">
        <f>'Income Statement'!E27/E7</f>
        <v>3.5306277880535308E-2</v>
      </c>
      <c r="F33" s="34">
        <f>'Income Statement'!F27/F7</f>
        <v>4.5464757090704855E-2</v>
      </c>
    </row>
    <row r="34" spans="1:6" ht="70.05" customHeight="1" x14ac:dyDescent="0.3">
      <c r="A34" s="36" t="s">
        <v>32</v>
      </c>
      <c r="B34" s="37"/>
      <c r="C34" s="37"/>
      <c r="D34" s="37"/>
      <c r="E34" s="37"/>
      <c r="F34" s="37"/>
    </row>
    <row r="35" spans="1:6" ht="19.95" customHeight="1" x14ac:dyDescent="0.3">
      <c r="A35" s="1"/>
      <c r="B35" s="22"/>
      <c r="C35" s="22"/>
      <c r="D35" s="22"/>
      <c r="E35" s="22"/>
      <c r="F35" s="22"/>
    </row>
    <row r="36" spans="1:6" ht="19.95" customHeight="1" x14ac:dyDescent="0.3">
      <c r="A36" s="25" t="s">
        <v>33</v>
      </c>
      <c r="B36" s="26"/>
      <c r="C36" s="26"/>
      <c r="D36" s="26"/>
      <c r="E36" s="26"/>
      <c r="F36" s="26"/>
    </row>
    <row r="37" spans="1:6" ht="19.95" customHeight="1" x14ac:dyDescent="0.3">
      <c r="A37" s="30" t="s">
        <v>17</v>
      </c>
      <c r="B37" s="30" t="s">
        <v>2</v>
      </c>
      <c r="C37" s="30" t="s">
        <v>3</v>
      </c>
      <c r="D37" s="30" t="s">
        <v>4</v>
      </c>
      <c r="E37" s="30" t="s">
        <v>5</v>
      </c>
      <c r="F37" s="30" t="s">
        <v>6</v>
      </c>
    </row>
    <row r="38" spans="1:6" ht="19.95" customHeight="1" x14ac:dyDescent="0.3">
      <c r="A38" s="31" t="s">
        <v>34</v>
      </c>
      <c r="B38" s="16"/>
      <c r="C38" s="16">
        <f>'Income Statement'!C2/C8</f>
        <v>7.2763404574428199</v>
      </c>
      <c r="D38" s="16">
        <f>'Income Statement'!D2/D8</f>
        <v>6.1317077511791407</v>
      </c>
      <c r="E38" s="16">
        <f>'Income Statement'!E2/E8</f>
        <v>5.9052378664103795</v>
      </c>
      <c r="F38" s="16">
        <f>'Income Statement'!F2/F8</f>
        <v>6.3736111111111109</v>
      </c>
    </row>
    <row r="39" spans="1:6" ht="19.95" customHeight="1" x14ac:dyDescent="0.3">
      <c r="A39" s="31" t="s">
        <v>35</v>
      </c>
      <c r="B39" s="16"/>
      <c r="C39" s="16">
        <f>'Income Statement'!C2/C5</f>
        <v>1.0162869861220214</v>
      </c>
      <c r="D39" s="16">
        <f>'Income Statement'!D2/D5</f>
        <v>0.85134091569004178</v>
      </c>
      <c r="E39" s="16">
        <f>'Income Statement'!E2/E5</f>
        <v>0.77870857360116597</v>
      </c>
      <c r="F39" s="16">
        <f>'Income Statement'!F2/F5</f>
        <v>0.76195645926597655</v>
      </c>
    </row>
    <row r="40" spans="1:6" ht="19.95" customHeight="1" x14ac:dyDescent="0.3">
      <c r="A40" s="31" t="s">
        <v>36</v>
      </c>
      <c r="B40" s="16"/>
      <c r="C40" s="16">
        <f>'Income Statement'!C4/C9</f>
        <v>4.4619347069842119</v>
      </c>
      <c r="D40" s="16">
        <f>'Income Statement'!D4/D9</f>
        <v>3.5116372391653292</v>
      </c>
      <c r="E40" s="16">
        <f>'Income Statement'!E4/E9</f>
        <v>3.3772907065355446</v>
      </c>
      <c r="F40" s="16">
        <f>'Income Statement'!F4/F9</f>
        <v>3.522534720878951</v>
      </c>
    </row>
    <row r="41" spans="1:6" ht="19.95" customHeight="1" x14ac:dyDescent="0.3">
      <c r="A41" s="31" t="s">
        <v>37</v>
      </c>
      <c r="B41" s="35"/>
      <c r="C41" s="35">
        <f>C8/'Income Statement'!C2*365</f>
        <v>50.162578583943109</v>
      </c>
      <c r="D41" s="35">
        <f>D8/'Income Statement'!D2*365</f>
        <v>59.526646541464686</v>
      </c>
      <c r="E41" s="35">
        <f>E8/'Income Statement'!E2*365</f>
        <v>61.809533884512724</v>
      </c>
      <c r="F41" s="35">
        <f>F8/'Income Statement'!F2*365</f>
        <v>57.267378513837436</v>
      </c>
    </row>
    <row r="42" spans="1:6" ht="19.95" customHeight="1" x14ac:dyDescent="0.3">
      <c r="A42" s="31" t="s">
        <v>38</v>
      </c>
      <c r="B42" s="35"/>
      <c r="C42" s="35">
        <f>C9/'Income Statement'!C4*365</f>
        <v>81.80307959878256</v>
      </c>
      <c r="D42" s="35">
        <f>D9/'Income Statement'!D4*365</f>
        <v>103.94012112901382</v>
      </c>
      <c r="E42" s="35">
        <f>E9/'Income Statement'!E4*365</f>
        <v>108.07479477371385</v>
      </c>
      <c r="F42" s="35">
        <f>F9/'Income Statement'!F4*365</f>
        <v>103.61856700419531</v>
      </c>
    </row>
    <row r="43" spans="1:6" ht="19.95" customHeight="1" x14ac:dyDescent="0.3">
      <c r="A43" s="31" t="s">
        <v>39</v>
      </c>
      <c r="B43" s="35"/>
      <c r="C43" s="35">
        <f>C10/'Income Statement'!C4*365</f>
        <v>44.491506364604106</v>
      </c>
      <c r="D43" s="35">
        <f>D10/'Income Statement'!D4*365</f>
        <v>52.745162457623891</v>
      </c>
      <c r="E43" s="35">
        <f>E10/'Income Statement'!E4*365</f>
        <v>53.588344006532857</v>
      </c>
      <c r="F43" s="35">
        <f>F10/'Income Statement'!F4*365</f>
        <v>49.734827684670634</v>
      </c>
    </row>
    <row r="44" spans="1:6" ht="70.05" customHeight="1" x14ac:dyDescent="0.3">
      <c r="A44" s="36" t="s">
        <v>40</v>
      </c>
      <c r="B44" s="37"/>
      <c r="C44" s="37"/>
      <c r="D44" s="37"/>
      <c r="E44" s="37"/>
      <c r="F44" s="37"/>
    </row>
    <row r="45" spans="1:6" ht="19.95" customHeight="1" x14ac:dyDescent="0.3">
      <c r="A45" s="25" t="s">
        <v>41</v>
      </c>
      <c r="B45" s="26"/>
      <c r="C45" s="26"/>
      <c r="D45" s="26"/>
      <c r="E45" s="26"/>
      <c r="F45" s="26"/>
    </row>
    <row r="46" spans="1:6" ht="19.95" customHeight="1" x14ac:dyDescent="0.3">
      <c r="A46" s="30" t="s">
        <v>17</v>
      </c>
      <c r="B46" s="30" t="s">
        <v>2</v>
      </c>
      <c r="C46" s="30" t="s">
        <v>3</v>
      </c>
      <c r="D46" s="30" t="s">
        <v>4</v>
      </c>
      <c r="E46" s="30" t="s">
        <v>5</v>
      </c>
      <c r="F46" s="30" t="s">
        <v>6</v>
      </c>
    </row>
    <row r="47" spans="1:6" ht="19.95" customHeight="1" x14ac:dyDescent="0.3">
      <c r="A47" s="31" t="s">
        <v>42</v>
      </c>
      <c r="B47" s="28">
        <f>'Cash Flow'!B14</f>
        <v>7245</v>
      </c>
      <c r="C47" s="28">
        <f>'Cash Flow'!C14</f>
        <v>7709</v>
      </c>
      <c r="D47" s="28">
        <f>'Cash Flow'!D14</f>
        <v>8111</v>
      </c>
      <c r="E47" s="28">
        <f>'Cash Flow'!E14</f>
        <v>6946</v>
      </c>
      <c r="F47" s="28">
        <f>'Cash Flow'!F14</f>
        <v>5610</v>
      </c>
    </row>
    <row r="48" spans="1:6" ht="19.95" customHeight="1" x14ac:dyDescent="0.3">
      <c r="A48" s="31" t="s">
        <v>43</v>
      </c>
      <c r="B48" s="28">
        <f>'Cash Flow'!B24</f>
        <v>-2622</v>
      </c>
      <c r="C48" s="28">
        <f>'Cash Flow'!C24</f>
        <v>-3778</v>
      </c>
      <c r="D48" s="28">
        <f>'Cash Flow'!D24</f>
        <v>-4991</v>
      </c>
      <c r="E48" s="28">
        <f>'Cash Flow'!E24</f>
        <v>-5081</v>
      </c>
      <c r="F48" s="28">
        <f>'Cash Flow'!F24</f>
        <v>-3208</v>
      </c>
    </row>
    <row r="49" spans="1:6" ht="19.95" customHeight="1" x14ac:dyDescent="0.3">
      <c r="A49" s="31" t="s">
        <v>44</v>
      </c>
      <c r="B49" s="28">
        <f>'Cash Flow'!B34</f>
        <v>-6457</v>
      </c>
      <c r="C49" s="28">
        <f>'Cash Flow'!C34</f>
        <v>-4013</v>
      </c>
      <c r="D49" s="28">
        <f>'Cash Flow'!D34</f>
        <v>-2905</v>
      </c>
      <c r="E49" s="28">
        <f>'Cash Flow'!E34</f>
        <v>-1547</v>
      </c>
      <c r="F49" s="28">
        <f>'Cash Flow'!F34</f>
        <v>-2416</v>
      </c>
    </row>
    <row r="50" spans="1:6" ht="19.95" customHeight="1" x14ac:dyDescent="0.3">
      <c r="A50" s="31" t="s">
        <v>45</v>
      </c>
      <c r="B50" s="28">
        <f>SUM(B47:B49)</f>
        <v>-1834</v>
      </c>
      <c r="C50" s="28">
        <f>SUM(C47:C49)</f>
        <v>-82</v>
      </c>
      <c r="D50" s="28">
        <f>SUM(D47:D49)</f>
        <v>215</v>
      </c>
      <c r="E50" s="28">
        <f>SUM(E47:E49)</f>
        <v>318</v>
      </c>
      <c r="F50" s="28">
        <f>SUM(F47:F49)</f>
        <v>-14</v>
      </c>
    </row>
    <row r="51" spans="1:6" ht="70.05" customHeight="1" x14ac:dyDescent="0.3">
      <c r="A51" s="36" t="s">
        <v>46</v>
      </c>
      <c r="B51" s="37"/>
      <c r="C51" s="37"/>
      <c r="D51" s="37"/>
      <c r="E51" s="37"/>
      <c r="F51" s="37"/>
    </row>
    <row r="52" spans="1:6" ht="19.95" customHeight="1" x14ac:dyDescent="0.3">
      <c r="A52" s="1"/>
      <c r="B52" s="22"/>
      <c r="C52" s="22"/>
      <c r="D52" s="22"/>
      <c r="E52" s="22"/>
      <c r="F52" s="22"/>
    </row>
    <row r="53" spans="1:6" ht="19.95" customHeight="1" x14ac:dyDescent="0.3">
      <c r="A53" s="25" t="s">
        <v>47</v>
      </c>
      <c r="B53" s="26"/>
      <c r="C53" s="26"/>
      <c r="D53" s="26"/>
      <c r="E53" s="26"/>
      <c r="F53" s="26"/>
    </row>
    <row r="54" spans="1:6" ht="19.95" customHeight="1" x14ac:dyDescent="0.3">
      <c r="A54" s="30" t="s">
        <v>17</v>
      </c>
      <c r="B54" s="30" t="s">
        <v>2</v>
      </c>
      <c r="C54" s="30" t="s">
        <v>3</v>
      </c>
      <c r="D54" s="30" t="s">
        <v>4</v>
      </c>
      <c r="E54" s="30" t="s">
        <v>5</v>
      </c>
      <c r="F54" s="30" t="s">
        <v>6</v>
      </c>
    </row>
    <row r="55" spans="1:6" ht="19.95" customHeight="1" x14ac:dyDescent="0.3">
      <c r="A55" s="15" t="s">
        <v>48</v>
      </c>
      <c r="B55" s="28"/>
      <c r="C55" s="28">
        <f>'Balance Sheet'!B3</f>
        <v>2624</v>
      </c>
      <c r="D55" s="28">
        <f>'Balance Sheet'!C3</f>
        <v>2516</v>
      </c>
      <c r="E55" s="28">
        <f>'Balance Sheet'!D3</f>
        <v>2624</v>
      </c>
      <c r="F55" s="28">
        <f>'Balance Sheet'!E3</f>
        <v>2914</v>
      </c>
    </row>
    <row r="56" spans="1:6" ht="19.95" customHeight="1" x14ac:dyDescent="0.3">
      <c r="A56" s="15" t="s">
        <v>49</v>
      </c>
      <c r="B56" s="28">
        <f>B50</f>
        <v>-1834</v>
      </c>
      <c r="C56" s="28">
        <f>C50</f>
        <v>-82</v>
      </c>
      <c r="D56" s="28">
        <f>D50</f>
        <v>215</v>
      </c>
      <c r="E56" s="28">
        <f>E50</f>
        <v>318</v>
      </c>
      <c r="F56" s="28">
        <f>F50</f>
        <v>-14</v>
      </c>
    </row>
    <row r="57" spans="1:6" ht="19.95" customHeight="1" x14ac:dyDescent="0.3">
      <c r="A57" s="15" t="s">
        <v>50</v>
      </c>
      <c r="B57" s="28">
        <f>'Cash Flow'!B38</f>
        <v>131</v>
      </c>
      <c r="C57" s="28">
        <f>'Cash Flow'!C38</f>
        <v>-25</v>
      </c>
      <c r="D57" s="28">
        <f>'Cash Flow'!D38</f>
        <v>-106</v>
      </c>
      <c r="E57" s="28">
        <f>'Cash Flow'!E38</f>
        <v>-21</v>
      </c>
      <c r="F57" s="28">
        <f>'Cash Flow'!F38</f>
        <v>-88</v>
      </c>
    </row>
    <row r="58" spans="1:6" ht="19.95" customHeight="1" x14ac:dyDescent="0.3">
      <c r="A58" s="15" t="s">
        <v>51</v>
      </c>
      <c r="B58" s="28">
        <f>'Cash Flow'!B39</f>
        <v>-8</v>
      </c>
      <c r="C58" s="28">
        <f>'Cash Flow'!C39</f>
        <v>-1</v>
      </c>
      <c r="D58" s="28">
        <f>'Cash Flow'!D39</f>
        <v>0</v>
      </c>
      <c r="E58" s="28">
        <f>'Cash Flow'!E39</f>
        <v>0</v>
      </c>
      <c r="F58" s="28">
        <f>'Cash Flow'!F39</f>
        <v>-1</v>
      </c>
    </row>
    <row r="59" spans="1:6" ht="19.95" customHeight="1" x14ac:dyDescent="0.3">
      <c r="A59" s="31" t="s">
        <v>52</v>
      </c>
      <c r="B59" s="28">
        <f>'Cash Flow'!B40</f>
        <v>-1711</v>
      </c>
      <c r="C59" s="28">
        <f>'Cash Flow'!C40</f>
        <v>-108</v>
      </c>
      <c r="D59" s="28">
        <f>'Cash Flow'!D40</f>
        <v>109</v>
      </c>
      <c r="E59" s="28">
        <f>'Cash Flow'!E40</f>
        <v>297</v>
      </c>
      <c r="F59" s="28">
        <f>'Cash Flow'!F40</f>
        <v>-103</v>
      </c>
    </row>
    <row r="60" spans="1:6" ht="19.95" customHeight="1" x14ac:dyDescent="0.3">
      <c r="A60" s="31" t="s">
        <v>53</v>
      </c>
      <c r="B60" s="28"/>
      <c r="C60" s="28">
        <f>C55+C59</f>
        <v>2516</v>
      </c>
      <c r="D60" s="28">
        <f>D55+D59</f>
        <v>2625</v>
      </c>
      <c r="E60" s="28">
        <f>E55+E59</f>
        <v>2921</v>
      </c>
      <c r="F60" s="28">
        <f>F55+F59</f>
        <v>2811</v>
      </c>
    </row>
    <row r="61" spans="1:6" ht="19.95" customHeight="1" x14ac:dyDescent="0.3">
      <c r="A61" s="31" t="s">
        <v>54</v>
      </c>
      <c r="B61" s="28">
        <f>'Balance Sheet'!B3</f>
        <v>2624</v>
      </c>
      <c r="C61" s="28">
        <f>'Balance Sheet'!C3</f>
        <v>2516</v>
      </c>
      <c r="D61" s="28">
        <f>'Balance Sheet'!D3</f>
        <v>2624</v>
      </c>
      <c r="E61" s="28">
        <f>'Balance Sheet'!E3</f>
        <v>2914</v>
      </c>
      <c r="F61" s="28">
        <f>'Balance Sheet'!F3</f>
        <v>2670</v>
      </c>
    </row>
    <row r="62" spans="1:6" ht="19.95" customHeight="1" x14ac:dyDescent="0.3">
      <c r="A62" s="31" t="s">
        <v>55</v>
      </c>
      <c r="B62" s="28"/>
      <c r="C62" s="28">
        <f>C60-C61</f>
        <v>0</v>
      </c>
      <c r="D62" s="28">
        <f>D60-D61</f>
        <v>1</v>
      </c>
      <c r="E62" s="28">
        <f>E60-E61</f>
        <v>7</v>
      </c>
      <c r="F62" s="28">
        <f>F60-F61</f>
        <v>141</v>
      </c>
    </row>
    <row r="63" spans="1:6" ht="70.05" customHeight="1" x14ac:dyDescent="0.3">
      <c r="A63" s="36" t="s">
        <v>56</v>
      </c>
      <c r="B63" s="37"/>
      <c r="C63" s="37"/>
      <c r="D63" s="37"/>
      <c r="E63" s="37"/>
      <c r="F63" s="37"/>
    </row>
    <row r="64" spans="1:6" ht="19.95" customHeight="1" x14ac:dyDescent="0.3">
      <c r="A64" s="1"/>
      <c r="B64" s="22"/>
      <c r="C64" s="22"/>
      <c r="D64" s="22"/>
      <c r="E64" s="22"/>
      <c r="F64" s="22"/>
    </row>
    <row r="65" spans="1:6" ht="19.95" customHeight="1" x14ac:dyDescent="0.3">
      <c r="A65" s="25" t="s">
        <v>57</v>
      </c>
      <c r="B65" s="26"/>
      <c r="C65" s="26"/>
      <c r="D65" s="26"/>
      <c r="E65" s="26"/>
      <c r="F65" s="26"/>
    </row>
    <row r="66" spans="1:6" ht="19.95" customHeight="1" x14ac:dyDescent="0.3">
      <c r="A66" s="30" t="s">
        <v>17</v>
      </c>
      <c r="B66" s="30" t="s">
        <v>2</v>
      </c>
      <c r="C66" s="30" t="s">
        <v>3</v>
      </c>
      <c r="D66" s="30" t="s">
        <v>4</v>
      </c>
      <c r="E66" s="30" t="s">
        <v>5</v>
      </c>
      <c r="F66" s="30" t="s">
        <v>6</v>
      </c>
    </row>
    <row r="67" spans="1:6" ht="19.95" customHeight="1" x14ac:dyDescent="0.3">
      <c r="A67" s="31" t="s">
        <v>58</v>
      </c>
      <c r="B67" s="33">
        <f>'Balance Sheet'!B44/'Balance Sheet'!B53</f>
        <v>0.42118770941755185</v>
      </c>
      <c r="C67" s="33">
        <f>'Balance Sheet'!C44/'Balance Sheet'!C53</f>
        <v>0.47555164577377024</v>
      </c>
      <c r="D67" s="33">
        <f>'Balance Sheet'!D44/'Balance Sheet'!D53</f>
        <v>0.53753581661891114</v>
      </c>
      <c r="E67" s="33">
        <f>'Balance Sheet'!E44/'Balance Sheet'!E53</f>
        <v>0.60548220047176204</v>
      </c>
      <c r="F67" s="33">
        <f>'Balance Sheet'!F44/'Balance Sheet'!F53</f>
        <v>0.63066080321519058</v>
      </c>
    </row>
    <row r="68" spans="1:6" ht="19.95" customHeight="1" x14ac:dyDescent="0.3">
      <c r="A68" s="31" t="s">
        <v>59</v>
      </c>
      <c r="B68" s="34">
        <f>'Balance Sheet'!B43/'Balance Sheet'!B22</f>
        <v>0.51843035830768003</v>
      </c>
      <c r="C68" s="34">
        <f>'Balance Sheet'!C43/'Balance Sheet'!C22</f>
        <v>0.51554361208447774</v>
      </c>
      <c r="D68" s="34">
        <f>'Balance Sheet'!D43/'Balance Sheet'!D22</f>
        <v>0.52651980102073781</v>
      </c>
      <c r="E68" s="34">
        <f>'Balance Sheet'!E43/'Balance Sheet'!E22</f>
        <v>0.54134178946713918</v>
      </c>
      <c r="F68" s="34">
        <f>'Balance Sheet'!F43/'Balance Sheet'!F22</f>
        <v>0.54922939585685404</v>
      </c>
    </row>
    <row r="69" spans="1:6" ht="19.95" customHeight="1" x14ac:dyDescent="0.3">
      <c r="A69" s="31" t="s">
        <v>60</v>
      </c>
      <c r="B69" s="34">
        <f>'Balance Sheet'!B53/'Balance Sheet'!B22</f>
        <v>0.48156964169232003</v>
      </c>
      <c r="C69" s="34">
        <f>'Balance Sheet'!C53/'Balance Sheet'!C22</f>
        <v>0.48445638791552231</v>
      </c>
      <c r="D69" s="34">
        <f>'Balance Sheet'!D53/'Balance Sheet'!D22</f>
        <v>0.47348019897926225</v>
      </c>
      <c r="E69" s="34">
        <f>'Balance Sheet'!E53/'Balance Sheet'!E22</f>
        <v>0.45865821053286077</v>
      </c>
      <c r="F69" s="34">
        <f>'Balance Sheet'!F53/'Balance Sheet'!F22</f>
        <v>0.45077060414314596</v>
      </c>
    </row>
    <row r="70" spans="1:6" ht="19.95" customHeight="1" x14ac:dyDescent="0.3">
      <c r="A70" s="31" t="s">
        <v>61</v>
      </c>
      <c r="B70" s="16">
        <f>'Income Statement'!B10/ABS('Income Statement'!B11)</f>
        <v>14.756916996047432</v>
      </c>
      <c r="C70" s="16">
        <f>'Income Statement'!C10/ABS('Income Statement'!C11)</f>
        <v>10.865293185419969</v>
      </c>
      <c r="D70" s="16">
        <f>'Income Statement'!D10/ABS('Income Statement'!D11)</f>
        <v>3.2730414746543777</v>
      </c>
      <c r="E70" s="16">
        <f>'Income Statement'!E10/ABS('Income Statement'!E11)</f>
        <v>2.6738428417653393</v>
      </c>
      <c r="F70" s="16">
        <f>'Income Statement'!F10/ABS('Income Statement'!F11)</f>
        <v>2.6764069264069263</v>
      </c>
    </row>
    <row r="71" spans="1:6" ht="19.95" customHeight="1" x14ac:dyDescent="0.3">
      <c r="A71" s="31" t="s">
        <v>62</v>
      </c>
      <c r="B71" s="33">
        <f>B11/B12</f>
        <v>1.6134729176149294</v>
      </c>
      <c r="C71" s="33">
        <f>C11/C12</f>
        <v>1.826295045045045</v>
      </c>
      <c r="D71" s="33">
        <f>D11/D12</f>
        <v>2.9800302571860815</v>
      </c>
      <c r="E71" s="33">
        <f>E11/E12</f>
        <v>3.6424726798238458</v>
      </c>
      <c r="F71" s="33">
        <f>F11/F12</f>
        <v>3.5775648438790681</v>
      </c>
    </row>
    <row r="72" spans="1:6" ht="70.05" customHeight="1" x14ac:dyDescent="0.3">
      <c r="A72" s="36" t="s">
        <v>63</v>
      </c>
      <c r="B72" s="37"/>
      <c r="C72" s="37"/>
      <c r="D72" s="37"/>
      <c r="E72" s="37"/>
      <c r="F72" s="37"/>
    </row>
    <row r="73" spans="1:6" ht="19.95" customHeight="1" x14ac:dyDescent="0.3">
      <c r="A73" s="1"/>
      <c r="B73" s="22"/>
      <c r="C73" s="22"/>
      <c r="D73" s="22"/>
      <c r="E73" s="22"/>
      <c r="F73" s="22"/>
    </row>
    <row r="74" spans="1:6" ht="19.95" customHeight="1" x14ac:dyDescent="0.3">
      <c r="A74" s="25" t="s">
        <v>64</v>
      </c>
      <c r="B74" s="26"/>
      <c r="C74" s="26"/>
      <c r="D74" s="26"/>
      <c r="E74" s="26"/>
      <c r="F74" s="26"/>
    </row>
    <row r="75" spans="1:6" ht="70.05" customHeight="1" x14ac:dyDescent="0.3">
      <c r="A75" s="36" t="s">
        <v>65</v>
      </c>
      <c r="B75" s="37"/>
      <c r="C75" s="37"/>
      <c r="D75" s="37"/>
      <c r="E75" s="37"/>
      <c r="F75" s="37"/>
    </row>
  </sheetData>
  <mergeCells count="9">
    <mergeCell ref="A51:F51"/>
    <mergeCell ref="A63:F63"/>
    <mergeCell ref="A44:F44"/>
    <mergeCell ref="A1:F1"/>
    <mergeCell ref="A75:F75"/>
    <mergeCell ref="A34:F34"/>
    <mergeCell ref="A18:F18"/>
    <mergeCell ref="A72:F72"/>
    <mergeCell ref="A25:F25"/>
  </mergeCells>
  <pageMargins left="0.25" right="0.25" top="0.5" bottom="0.5" header="0.3" footer="0.3"/>
  <pageSetup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Income Statement</vt:lpstr>
      <vt:lpstr>Balance Sheet</vt:lpstr>
      <vt:lpstr>Cash Flow</vt:lpstr>
      <vt:lpstr>Financial Performance and Risk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Mustafa Mansoor</dc:creator>
  <cp:lastModifiedBy>Mustafa Mansoor</cp:lastModifiedBy>
  <dcterms:created xsi:type="dcterms:W3CDTF">2026-09-16T19:23:54Z</dcterms:created>
  <dcterms:modified xsi:type="dcterms:W3CDTF">2026-09-16T20:43:22Z</dcterms:modified>
</cp:coreProperties>
</file>